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추천 로직 시그널" sheetId="2" state="visible" r:id="rId2"/>
    <sheet name="로직 비교" sheetId="3" state="visible" r:id="rId3"/>
    <sheet name="Data 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4"/>
    </font>
    <font>
      <name val="Arial"/>
      <sz val="11"/>
    </font>
    <font>
      <name val="Arial"/>
      <b val="1"/>
    </font>
    <font>
      <name val="Arial"/>
    </font>
    <font>
      <name val="Arial"/>
      <color rgb="000000FF"/>
    </font>
    <font>
      <name val="Arial"/>
      <b val="1"/>
      <color rgb="00FFFFFF"/>
    </font>
    <font>
      <name val="Arial"/>
      <i val="1"/>
      <color rgb="00555555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4" fontId="0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1" fontId="0" fillId="0" borderId="0" pivotButton="0" quotePrefix="0" xfId="0"/>
    <xf numFmtId="0" fontId="8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Claude</author>
  </authors>
  <commentList>
    <comment ref="B7" authorId="0" shapeId="0">
      <text>
        <t>Source: research/archive 거래일 수 (침묵 판단용 앞부분 45거래일 제외)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A1" authorId="0" shapeId="0">
      <text>
        <t>Source: KRX 정보데이터시스템 (투자자별 순매수상위종목·전종목 시세), research/archive, 277 rows, run 2026-09-26 11:07 KST. research/evaluate.py 로 계산. 초과수익 = 같은 날·같은 시장·같은 시총 5분위 중앙값 대비, 다음날 시가 진입, 수정주가 기준.</t>
      </text>
    </comment>
  </commentList>
</comments>
</file>

<file path=xl/comments/comment3.xml><?xml version="1.0" encoding="utf-8"?>
<comments xmlns="http://schemas.openxmlformats.org/spreadsheetml/2006/main">
  <authors>
    <author>Claude</author>
  </authors>
  <commentList>
    <comment ref="A1" authorId="0" shapeId="0">
      <text>
        <t>Source: research/evaluate.py (research/results/variants.csv), 30 rows, run 2026-09-26 11:07 KST. Run by Claude. 수익률 단위는 %, 95%구간은 신호일 단위 부트스트랩.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연기금 시그널 로직 검증</t>
        </is>
      </c>
    </row>
    <row r="2">
      <c r="A2" s="2" t="inlineStr">
        <is>
          <t>추천 로직은 신호가 주 2.5건에서 3.2건으로 늘고, 20일 초과수익은 현재 로직과 비슷한 수준을 유지한다 (2024-12 ~ 2026-09, 440거래일).</t>
        </is>
      </c>
    </row>
    <row r="4">
      <c r="A4" s="3" t="inlineStr">
        <is>
          <t>입력값 (파란 글씨)</t>
        </is>
      </c>
    </row>
    <row r="5">
      <c r="A5" s="4" t="inlineStr">
        <is>
          <t>분석 시작일</t>
        </is>
      </c>
      <c r="B5" s="5" t="inlineStr">
        <is>
          <t>2024-12-03</t>
        </is>
      </c>
    </row>
    <row r="6">
      <c r="A6" s="4" t="inlineStr">
        <is>
          <t>분석 종료일</t>
        </is>
      </c>
      <c r="B6" s="5" t="inlineStr">
        <is>
          <t>2026-09-23</t>
        </is>
      </c>
    </row>
    <row r="7">
      <c r="A7" s="4" t="inlineStr">
        <is>
          <t>분석 기간 거래일 수</t>
        </is>
      </c>
      <c r="B7" s="5" t="n">
        <v>440</v>
      </c>
    </row>
    <row r="8">
      <c r="A8" s="4" t="inlineStr">
        <is>
          <t>분석 기간 주 수</t>
        </is>
      </c>
      <c r="B8" s="6">
        <f>B7/5</f>
        <v/>
      </c>
    </row>
    <row r="10" ht="32" customHeight="1">
      <c r="A10" s="7" t="inlineStr">
        <is>
          <t>로직</t>
        </is>
      </c>
      <c r="B10" s="7" t="inlineStr">
        <is>
          <t>신호수</t>
        </is>
      </c>
      <c r="C10" s="7" t="inlineStr">
        <is>
          <t>주당 신호수</t>
        </is>
      </c>
      <c r="D10" s="7" t="inlineStr">
        <is>
          <t>5일 초과수익 중앙값</t>
        </is>
      </c>
      <c r="E10" s="7" t="inlineStr">
        <is>
          <t>20일 초과수익 평균</t>
        </is>
      </c>
      <c r="F10" s="7" t="inlineStr">
        <is>
          <t>20일 초과수익 중앙값</t>
        </is>
      </c>
      <c r="G10" s="7" t="inlineStr">
        <is>
          <t>20일 승률 (초과수익&gt;0)</t>
        </is>
      </c>
    </row>
    <row r="11">
      <c r="A11" s="8" t="inlineStr">
        <is>
          <t>현재 로직</t>
        </is>
      </c>
      <c r="B11" s="9">
        <f>INDEX('로직 비교'!C:C,MATCH($B$15,'로직 비교'!B:B,0))</f>
        <v/>
      </c>
      <c r="C11" s="6">
        <f>INDEX('로직 비교'!D:D,MATCH($B$15,'로직 비교'!B:B,0))</f>
        <v/>
      </c>
      <c r="D11" s="8">
        <f>INDEX('로직 비교'!E:E,MATCH($B$15,'로직 비교'!B:B,0))/100</f>
        <v/>
      </c>
      <c r="E11" s="8">
        <f>INDEX('로직 비교'!F:F,MATCH($B$15,'로직 비교'!B:B,0))/100</f>
        <v/>
      </c>
      <c r="F11" s="8">
        <f>INDEX('로직 비교'!G:G,MATCH($B$15,'로직 비교'!B:B,0))/100</f>
        <v/>
      </c>
      <c r="G11" s="8">
        <f>INDEX('로직 비교'!H:H,MATCH($B$15,'로직 비교'!B:B,0))/100</f>
        <v/>
      </c>
    </row>
    <row r="12">
      <c r="A12" s="8" t="inlineStr">
        <is>
          <t>추천 로직</t>
        </is>
      </c>
      <c r="B12" s="9">
        <f>COUNTA('추천 로직 시그널'!A2:A2000)</f>
        <v/>
      </c>
      <c r="C12" s="6">
        <f>IF($B$8=0,0,B12/$B$8)</f>
        <v/>
      </c>
      <c r="D12" s="8">
        <f>MEDIAN('추천 로직 시그널'!I2:I2000)</f>
        <v/>
      </c>
      <c r="E12" s="8">
        <f>AVERAGE('추천 로직 시그널'!J2:J2000)</f>
        <v/>
      </c>
      <c r="F12" s="8">
        <f>MEDIAN('추천 로직 시그널'!J2:J2000)</f>
        <v/>
      </c>
      <c r="G12" s="8">
        <f>IF(COUNT('추천 로직 시그널'!J2:J2000)=0,0,COUNTIF('추천 로직 시그널'!J2:J2000,"&gt;0")/COUNT('추천 로직 시그널'!J2:J2000))</f>
        <v/>
      </c>
    </row>
    <row r="14">
      <c r="A14" s="3" t="inlineStr">
        <is>
          <t>로직 정의</t>
        </is>
      </c>
    </row>
    <row r="15">
      <c r="A15" s="4" t="inlineStr">
        <is>
          <t>현재 로직</t>
        </is>
      </c>
      <c r="B15" s="4" t="inlineStr">
        <is>
          <t>현재: 3억↑ &amp; 20일 매일 |순매수|≤0.3억</t>
        </is>
      </c>
    </row>
    <row r="16">
      <c r="A16" s="4" t="inlineStr">
        <is>
          <t>추천 로직</t>
        </is>
      </c>
      <c r="B16" s="4" t="inlineStr">
        <is>
          <t>추천: 1~2일 누적 3억↑ &amp; (5억↑ 또는 거래대금 5%↑) &amp; 직전 20일 매일 |순매수|≤0.3억</t>
        </is>
      </c>
    </row>
    <row r="18">
      <c r="A18" s="10" t="inlineStr">
        <is>
          <t>초과수익: 신호 다음날 시가에 사서 N거래일 뒤 종가까지의 수익률에서, 같은 날 같은 시장·같은 시총 5분위 종목들의 중앙값을 뺀 값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6" customWidth="1" min="3" max="3"/>
    <col width="7" customWidth="1" min="4" max="4"/>
    <col width="16" customWidth="1" min="5" max="5"/>
    <col width="14" customWidth="1" min="6" max="6"/>
    <col width="13" customWidth="1" min="7" max="7"/>
    <col width="15" customWidth="1" min="8" max="8"/>
    <col width="11" customWidth="1" min="9" max="9"/>
    <col width="11" customWidth="1" min="10" max="10"/>
  </cols>
  <sheetData>
    <row r="1" ht="32" customHeight="1">
      <c r="A1" s="7" t="inlineStr">
        <is>
          <t>신호일</t>
        </is>
      </c>
      <c r="B1" s="7" t="inlineStr">
        <is>
          <t>종목코드</t>
        </is>
      </c>
      <c r="C1" s="7" t="inlineStr">
        <is>
          <t>종목명</t>
        </is>
      </c>
      <c r="D1" s="7" t="inlineStr">
        <is>
          <t>시장</t>
        </is>
      </c>
      <c r="E1" s="7" t="inlineStr">
        <is>
          <t>연기금 순매수(억, 1~2일 누적)</t>
        </is>
      </c>
      <c r="F1" s="7" t="inlineStr">
        <is>
          <t>20일 평균 거래대금(억)</t>
        </is>
      </c>
      <c r="G1" s="7" t="inlineStr">
        <is>
          <t>거래대금 대비 순매수</t>
        </is>
      </c>
      <c r="H1" s="7" t="inlineStr">
        <is>
          <t>직전 20일 최대 |순매수|(억)</t>
        </is>
      </c>
      <c r="I1" s="7" t="inlineStr">
        <is>
          <t>5일 초과수익</t>
        </is>
      </c>
      <c r="J1" s="7" t="inlineStr">
        <is>
          <t>20일 초과수익</t>
        </is>
      </c>
    </row>
    <row r="2">
      <c r="A2" t="inlineStr">
        <is>
          <t>2026-09-17</t>
        </is>
      </c>
      <c r="B2" t="inlineStr">
        <is>
          <t>000155</t>
        </is>
      </c>
      <c r="C2" t="inlineStr">
        <is>
          <t>두산우</t>
        </is>
      </c>
      <c r="D2" t="inlineStr">
        <is>
          <t>코스피</t>
        </is>
      </c>
      <c r="E2" s="11" t="n">
        <v>3.64</v>
      </c>
      <c r="F2" s="11" t="n">
        <v>27.78</v>
      </c>
      <c r="G2" s="8">
        <f>IF(F2=0,0,E2/F2)</f>
        <v/>
      </c>
      <c r="H2" s="11" t="n">
        <v>0.27</v>
      </c>
      <c r="I2" s="8" t="n"/>
      <c r="J2" s="8" t="n"/>
    </row>
    <row r="3">
      <c r="A3" t="inlineStr">
        <is>
          <t>2026-09-14</t>
        </is>
      </c>
      <c r="B3" t="inlineStr">
        <is>
          <t>217590</t>
        </is>
      </c>
      <c r="C3" t="inlineStr">
        <is>
          <t>티엠씨</t>
        </is>
      </c>
      <c r="D3" t="inlineStr">
        <is>
          <t>코스피</t>
        </is>
      </c>
      <c r="E3" s="11" t="n">
        <v>4.98</v>
      </c>
      <c r="F3" s="11" t="n">
        <v>56.78</v>
      </c>
      <c r="G3" s="8">
        <f>IF(F3=0,0,E3/F3)</f>
        <v/>
      </c>
      <c r="H3" s="11" t="n">
        <v>0</v>
      </c>
      <c r="I3" s="8" t="n">
        <v>0.1496</v>
      </c>
      <c r="J3" s="8" t="n"/>
    </row>
    <row r="4">
      <c r="A4" t="inlineStr">
        <is>
          <t>2026-09-02</t>
        </is>
      </c>
      <c r="B4" t="inlineStr">
        <is>
          <t>092870</t>
        </is>
      </c>
      <c r="C4" t="inlineStr">
        <is>
          <t>엑시콘</t>
        </is>
      </c>
      <c r="D4" t="inlineStr">
        <is>
          <t>코스닥</t>
        </is>
      </c>
      <c r="E4" s="11" t="n">
        <v>18.9</v>
      </c>
      <c r="F4" s="11" t="n">
        <v>62.6</v>
      </c>
      <c r="G4" s="8">
        <f>IF(F4=0,0,E4/F4)</f>
        <v/>
      </c>
      <c r="H4" s="11" t="n">
        <v>0.02</v>
      </c>
      <c r="I4" s="8" t="n">
        <v>-0.1462</v>
      </c>
      <c r="J4" s="8" t="n"/>
    </row>
    <row r="5">
      <c r="A5" t="inlineStr">
        <is>
          <t>2026-08-31</t>
        </is>
      </c>
      <c r="B5" t="inlineStr">
        <is>
          <t>183190</t>
        </is>
      </c>
      <c r="C5" t="inlineStr">
        <is>
          <t>아세아시멘트</t>
        </is>
      </c>
      <c r="D5" t="inlineStr">
        <is>
          <t>코스피</t>
        </is>
      </c>
      <c r="E5" s="11" t="n">
        <v>5.9</v>
      </c>
      <c r="F5" s="11" t="n">
        <v>3.82</v>
      </c>
      <c r="G5" s="8">
        <f>IF(F5=0,0,E5/F5)</f>
        <v/>
      </c>
      <c r="H5" s="11" t="n">
        <v>0.18</v>
      </c>
      <c r="I5" s="8" t="n">
        <v>-0.0238</v>
      </c>
      <c r="J5" s="8" t="n"/>
    </row>
    <row r="6">
      <c r="A6" t="inlineStr">
        <is>
          <t>2026-08-28</t>
        </is>
      </c>
      <c r="B6" t="inlineStr">
        <is>
          <t>416180</t>
        </is>
      </c>
      <c r="C6" t="inlineStr">
        <is>
          <t>신성에스티</t>
        </is>
      </c>
      <c r="D6" t="inlineStr">
        <is>
          <t>코스닥</t>
        </is>
      </c>
      <c r="E6" s="11" t="n">
        <v>4.35</v>
      </c>
      <c r="F6" s="11" t="n">
        <v>4.76</v>
      </c>
      <c r="G6" s="8">
        <f>IF(F6=0,0,E6/F6)</f>
        <v/>
      </c>
      <c r="H6" s="11" t="n">
        <v>0</v>
      </c>
      <c r="I6" s="8" t="n">
        <v>-0.003</v>
      </c>
      <c r="J6" s="8" t="n"/>
    </row>
    <row r="7">
      <c r="A7" t="inlineStr">
        <is>
          <t>2026-08-28</t>
        </is>
      </c>
      <c r="B7" t="inlineStr">
        <is>
          <t>025860</t>
        </is>
      </c>
      <c r="C7" t="inlineStr">
        <is>
          <t>남해화학</t>
        </is>
      </c>
      <c r="D7" t="inlineStr">
        <is>
          <t>코스피</t>
        </is>
      </c>
      <c r="E7" s="11" t="n">
        <v>11.4</v>
      </c>
      <c r="F7" s="11" t="n">
        <v>43.64</v>
      </c>
      <c r="G7" s="8">
        <f>IF(F7=0,0,E7/F7)</f>
        <v/>
      </c>
      <c r="H7" s="11" t="n">
        <v>0.17</v>
      </c>
      <c r="I7" s="8" t="n">
        <v>-0.0108</v>
      </c>
      <c r="J7" s="8" t="n"/>
    </row>
    <row r="8">
      <c r="A8" t="inlineStr">
        <is>
          <t>2026-08-28</t>
        </is>
      </c>
      <c r="B8" t="inlineStr">
        <is>
          <t>294570</t>
        </is>
      </c>
      <c r="C8" t="inlineStr">
        <is>
          <t>쿠콘</t>
        </is>
      </c>
      <c r="D8" t="inlineStr">
        <is>
          <t>코스닥</t>
        </is>
      </c>
      <c r="E8" s="11" t="n">
        <v>14.76</v>
      </c>
      <c r="F8" s="11" t="n">
        <v>25.47</v>
      </c>
      <c r="G8" s="8">
        <f>IF(F8=0,0,E8/F8)</f>
        <v/>
      </c>
      <c r="H8" s="11" t="n">
        <v>0</v>
      </c>
      <c r="I8" s="8" t="n">
        <v>0.0304</v>
      </c>
      <c r="J8" s="8" t="n"/>
    </row>
    <row r="9">
      <c r="A9" t="inlineStr">
        <is>
          <t>2026-08-24</t>
        </is>
      </c>
      <c r="B9" t="inlineStr">
        <is>
          <t>445680</t>
        </is>
      </c>
      <c r="C9" t="inlineStr">
        <is>
          <t>큐리옥스바이오시스템즈</t>
        </is>
      </c>
      <c r="D9" t="inlineStr">
        <is>
          <t>코스닥</t>
        </is>
      </c>
      <c r="E9" s="11" t="n">
        <v>5.79</v>
      </c>
      <c r="F9" s="11" t="n">
        <v>49.24</v>
      </c>
      <c r="G9" s="8">
        <f>IF(F9=0,0,E9/F9)</f>
        <v/>
      </c>
      <c r="H9" s="11" t="n">
        <v>0.12</v>
      </c>
      <c r="I9" s="8" t="n">
        <v>-0.0689</v>
      </c>
      <c r="J9" s="8" t="n">
        <v>-0.1345</v>
      </c>
    </row>
    <row r="10">
      <c r="A10" t="inlineStr">
        <is>
          <t>2026-08-19</t>
        </is>
      </c>
      <c r="B10" t="inlineStr">
        <is>
          <t>061970</t>
        </is>
      </c>
      <c r="C10" t="inlineStr">
        <is>
          <t>LB세미콘</t>
        </is>
      </c>
      <c r="D10" t="inlineStr">
        <is>
          <t>코스닥</t>
        </is>
      </c>
      <c r="E10" s="11" t="n">
        <v>3.69</v>
      </c>
      <c r="F10" s="11" t="n">
        <v>33.97</v>
      </c>
      <c r="G10" s="8">
        <f>IF(F10=0,0,E10/F10)</f>
        <v/>
      </c>
      <c r="H10" s="11" t="n">
        <v>0.22</v>
      </c>
      <c r="I10" s="8" t="n">
        <v>-0.2478</v>
      </c>
      <c r="J10" s="8" t="n">
        <v>-0.2896</v>
      </c>
    </row>
    <row r="11">
      <c r="A11" t="inlineStr">
        <is>
          <t>2026-08-18</t>
        </is>
      </c>
      <c r="B11" t="inlineStr">
        <is>
          <t>058970</t>
        </is>
      </c>
      <c r="C11" t="inlineStr">
        <is>
          <t>엠로</t>
        </is>
      </c>
      <c r="D11" t="inlineStr">
        <is>
          <t>코스닥</t>
        </is>
      </c>
      <c r="E11" s="11" t="n">
        <v>4.8</v>
      </c>
      <c r="F11" s="11" t="n">
        <v>4.38</v>
      </c>
      <c r="G11" s="8">
        <f>IF(F11=0,0,E11/F11)</f>
        <v/>
      </c>
      <c r="H11" s="11" t="n">
        <v>0.01</v>
      </c>
      <c r="I11" s="8" t="n">
        <v>-0.0415</v>
      </c>
      <c r="J11" s="8" t="n">
        <v>-0.0098</v>
      </c>
    </row>
    <row r="12">
      <c r="A12" t="inlineStr">
        <is>
          <t>2026-08-12</t>
        </is>
      </c>
      <c r="B12" t="inlineStr">
        <is>
          <t>003350</t>
        </is>
      </c>
      <c r="C12" t="inlineStr">
        <is>
          <t>한국화장품제조</t>
        </is>
      </c>
      <c r="D12" t="inlineStr">
        <is>
          <t>코스피</t>
        </is>
      </c>
      <c r="E12" s="11" t="n">
        <v>3.05</v>
      </c>
      <c r="F12" s="11" t="n">
        <v>34.86</v>
      </c>
      <c r="G12" s="8">
        <f>IF(F12=0,0,E12/F12)</f>
        <v/>
      </c>
      <c r="H12" s="11" t="n">
        <v>0.29</v>
      </c>
      <c r="I12" s="8" t="n">
        <v>-0.08649999999999999</v>
      </c>
      <c r="J12" s="8" t="n">
        <v>0.1216</v>
      </c>
    </row>
    <row r="13">
      <c r="A13" t="inlineStr">
        <is>
          <t>2026-08-11</t>
        </is>
      </c>
      <c r="B13" t="inlineStr">
        <is>
          <t>328130</t>
        </is>
      </c>
      <c r="C13" t="inlineStr">
        <is>
          <t>루닛</t>
        </is>
      </c>
      <c r="D13" t="inlineStr">
        <is>
          <t>코스닥</t>
        </is>
      </c>
      <c r="E13" s="11" t="n">
        <v>4.06</v>
      </c>
      <c r="F13" s="11" t="n">
        <v>30.5</v>
      </c>
      <c r="G13" s="8">
        <f>IF(F13=0,0,E13/F13)</f>
        <v/>
      </c>
      <c r="H13" s="11" t="n">
        <v>0.16</v>
      </c>
      <c r="I13" s="8" t="n">
        <v>-0.133</v>
      </c>
      <c r="J13" s="8" t="n">
        <v>-0.1511</v>
      </c>
    </row>
    <row r="14">
      <c r="A14" t="inlineStr">
        <is>
          <t>2026-08-11</t>
        </is>
      </c>
      <c r="B14" t="inlineStr">
        <is>
          <t>029460</t>
        </is>
      </c>
      <c r="C14" t="inlineStr">
        <is>
          <t>케이씨</t>
        </is>
      </c>
      <c r="D14" t="inlineStr">
        <is>
          <t>코스피</t>
        </is>
      </c>
      <c r="E14" s="11" t="n">
        <v>3.46</v>
      </c>
      <c r="F14" s="11" t="n">
        <v>11.05</v>
      </c>
      <c r="G14" s="8">
        <f>IF(F14=0,0,E14/F14)</f>
        <v/>
      </c>
      <c r="H14" s="11" t="n">
        <v>0.28</v>
      </c>
      <c r="I14" s="8" t="n">
        <v>0.043</v>
      </c>
      <c r="J14" s="8" t="n">
        <v>0.1377</v>
      </c>
    </row>
    <row r="15">
      <c r="A15" t="inlineStr">
        <is>
          <t>2026-08-07</t>
        </is>
      </c>
      <c r="B15" t="inlineStr">
        <is>
          <t>441270</t>
        </is>
      </c>
      <c r="C15" t="inlineStr">
        <is>
          <t>파인엠텍</t>
        </is>
      </c>
      <c r="D15" t="inlineStr">
        <is>
          <t>코스닥</t>
        </is>
      </c>
      <c r="E15" s="11" t="n">
        <v>10.18</v>
      </c>
      <c r="F15" s="11" t="n">
        <v>16.47</v>
      </c>
      <c r="G15" s="8">
        <f>IF(F15=0,0,E15/F15)</f>
        <v/>
      </c>
      <c r="H15" s="11" t="n">
        <v>0.2</v>
      </c>
      <c r="I15" s="8" t="n">
        <v>-0.0716</v>
      </c>
      <c r="J15" s="8" t="n">
        <v>0.0742</v>
      </c>
    </row>
    <row r="16">
      <c r="A16" t="inlineStr">
        <is>
          <t>2026-07-30</t>
        </is>
      </c>
      <c r="B16" t="inlineStr">
        <is>
          <t>213500</t>
        </is>
      </c>
      <c r="C16" t="inlineStr">
        <is>
          <t>한솔제지</t>
        </is>
      </c>
      <c r="D16" t="inlineStr">
        <is>
          <t>코스피</t>
        </is>
      </c>
      <c r="E16" s="11" t="n">
        <v>3.18</v>
      </c>
      <c r="F16" s="11" t="n">
        <v>3.72</v>
      </c>
      <c r="G16" s="8">
        <f>IF(F16=0,0,E16/F16)</f>
        <v/>
      </c>
      <c r="H16" s="11" t="n">
        <v>0.02</v>
      </c>
      <c r="I16" s="8" t="n">
        <v>-0.0116</v>
      </c>
      <c r="J16" s="8" t="n">
        <v>-0.0716</v>
      </c>
    </row>
    <row r="17">
      <c r="A17" t="inlineStr">
        <is>
          <t>2026-07-15</t>
        </is>
      </c>
      <c r="B17" t="inlineStr">
        <is>
          <t>476060</t>
        </is>
      </c>
      <c r="C17" t="inlineStr">
        <is>
          <t>온코닉테라퓨틱스</t>
        </is>
      </c>
      <c r="D17" t="inlineStr">
        <is>
          <t>코스닥</t>
        </is>
      </c>
      <c r="E17" s="11" t="n">
        <v>11.44</v>
      </c>
      <c r="F17" s="11" t="n">
        <v>33.59</v>
      </c>
      <c r="G17" s="8">
        <f>IF(F17=0,0,E17/F17)</f>
        <v/>
      </c>
      <c r="H17" s="11" t="n">
        <v>0.08</v>
      </c>
      <c r="I17" s="8" t="n">
        <v>-0.0959</v>
      </c>
      <c r="J17" s="8" t="n">
        <v>0.1185</v>
      </c>
    </row>
    <row r="18">
      <c r="A18" t="inlineStr">
        <is>
          <t>2026-07-10</t>
        </is>
      </c>
      <c r="B18" t="inlineStr">
        <is>
          <t>036800</t>
        </is>
      </c>
      <c r="C18" t="inlineStr">
        <is>
          <t>나이스정보통신</t>
        </is>
      </c>
      <c r="D18" t="inlineStr">
        <is>
          <t>코스닥</t>
        </is>
      </c>
      <c r="E18" s="11" t="n">
        <v>3.2</v>
      </c>
      <c r="F18" s="11" t="n">
        <v>6.39</v>
      </c>
      <c r="G18" s="8">
        <f>IF(F18=0,0,E18/F18)</f>
        <v/>
      </c>
      <c r="H18" s="11" t="n">
        <v>0</v>
      </c>
      <c r="I18" s="8" t="n">
        <v>0.0444</v>
      </c>
      <c r="J18" s="8" t="n">
        <v>-0.1012</v>
      </c>
    </row>
    <row r="19">
      <c r="A19" t="inlineStr">
        <is>
          <t>2026-07-08</t>
        </is>
      </c>
      <c r="B19" t="inlineStr">
        <is>
          <t>473980</t>
        </is>
      </c>
      <c r="C19" t="inlineStr">
        <is>
          <t>노머스</t>
        </is>
      </c>
      <c r="D19" t="inlineStr">
        <is>
          <t>코스닥</t>
        </is>
      </c>
      <c r="E19" s="11" t="n">
        <v>3.37</v>
      </c>
      <c r="F19" s="11" t="n">
        <v>8.82</v>
      </c>
      <c r="G19" s="8">
        <f>IF(F19=0,0,E19/F19)</f>
        <v/>
      </c>
      <c r="H19" s="11" t="n">
        <v>0</v>
      </c>
      <c r="I19" s="8" t="n">
        <v>-0.0564</v>
      </c>
      <c r="J19" s="8" t="n">
        <v>-0.0692</v>
      </c>
    </row>
    <row r="20">
      <c r="A20" t="inlineStr">
        <is>
          <t>2026-06-24</t>
        </is>
      </c>
      <c r="B20" t="inlineStr">
        <is>
          <t>03473K</t>
        </is>
      </c>
      <c r="C20" t="inlineStr">
        <is>
          <t>SK우</t>
        </is>
      </c>
      <c r="D20" t="inlineStr">
        <is>
          <t>코스피</t>
        </is>
      </c>
      <c r="E20" s="11" t="n">
        <v>3.44</v>
      </c>
      <c r="F20" s="11" t="n">
        <v>19.59</v>
      </c>
      <c r="G20" s="8">
        <f>IF(F20=0,0,E20/F20)</f>
        <v/>
      </c>
      <c r="H20" s="11" t="n">
        <v>0.02</v>
      </c>
      <c r="I20" s="8" t="n">
        <v>-0.0238</v>
      </c>
      <c r="J20" s="8" t="n">
        <v>-0.2205</v>
      </c>
    </row>
    <row r="21">
      <c r="A21" t="inlineStr">
        <is>
          <t>2026-06-19</t>
        </is>
      </c>
      <c r="B21" t="inlineStr">
        <is>
          <t>306620</t>
        </is>
      </c>
      <c r="C21" t="inlineStr">
        <is>
          <t>지아이에스</t>
        </is>
      </c>
      <c r="D21" t="inlineStr">
        <is>
          <t>코스닥</t>
        </is>
      </c>
      <c r="E21" s="11" t="n">
        <v>4.26</v>
      </c>
      <c r="F21" s="11" t="n">
        <v>61.3</v>
      </c>
      <c r="G21" s="8">
        <f>IF(F21=0,0,E21/F21)</f>
        <v/>
      </c>
      <c r="H21" s="11" t="n">
        <v>0</v>
      </c>
      <c r="I21" s="8" t="n">
        <v>-0.115</v>
      </c>
      <c r="J21" s="8" t="n">
        <v>-0.3477</v>
      </c>
    </row>
    <row r="22">
      <c r="A22" t="inlineStr">
        <is>
          <t>2026-06-15</t>
        </is>
      </c>
      <c r="B22" t="inlineStr">
        <is>
          <t>241770</t>
        </is>
      </c>
      <c r="C22" t="inlineStr">
        <is>
          <t>메카로</t>
        </is>
      </c>
      <c r="D22" t="inlineStr">
        <is>
          <t>코스닥</t>
        </is>
      </c>
      <c r="E22" s="11" t="n">
        <v>5.62</v>
      </c>
      <c r="F22" s="11" t="n">
        <v>21.49</v>
      </c>
      <c r="G22" s="8">
        <f>IF(F22=0,0,E22/F22)</f>
        <v/>
      </c>
      <c r="H22" s="11" t="n">
        <v>0</v>
      </c>
      <c r="I22" s="8" t="n">
        <v>0.0381</v>
      </c>
      <c r="J22" s="8" t="n">
        <v>-0.0178</v>
      </c>
    </row>
    <row r="23">
      <c r="A23" t="inlineStr">
        <is>
          <t>2026-06-11</t>
        </is>
      </c>
      <c r="B23" t="inlineStr">
        <is>
          <t>090710</t>
        </is>
      </c>
      <c r="C23" t="inlineStr">
        <is>
          <t>휴림로봇</t>
        </is>
      </c>
      <c r="D23" t="inlineStr">
        <is>
          <t>코스닥</t>
        </is>
      </c>
      <c r="E23" s="11" t="n">
        <v>27.36</v>
      </c>
      <c r="F23" s="11" t="n">
        <v>1265.37</v>
      </c>
      <c r="G23" s="8">
        <f>IF(F23=0,0,E23/F23)</f>
        <v/>
      </c>
      <c r="H23" s="11" t="n">
        <v>0</v>
      </c>
      <c r="I23" s="8" t="n">
        <v>-0.0648</v>
      </c>
      <c r="J23" s="8" t="n">
        <v>-0.1804</v>
      </c>
    </row>
    <row r="24">
      <c r="A24" t="inlineStr">
        <is>
          <t>2026-06-05</t>
        </is>
      </c>
      <c r="B24" t="inlineStr">
        <is>
          <t>00088K</t>
        </is>
      </c>
      <c r="C24" t="inlineStr">
        <is>
          <t>한화3우B</t>
        </is>
      </c>
      <c r="D24" t="inlineStr">
        <is>
          <t>코스피</t>
        </is>
      </c>
      <c r="E24" s="11" t="n">
        <v>3.18</v>
      </c>
      <c r="F24" s="11" t="n">
        <v>54.06</v>
      </c>
      <c r="G24" s="8">
        <f>IF(F24=0,0,E24/F24)</f>
        <v/>
      </c>
      <c r="H24" s="11" t="n">
        <v>0</v>
      </c>
      <c r="I24" s="8" t="n">
        <v>-0.0868</v>
      </c>
      <c r="J24" s="8" t="n">
        <v>-0.0839</v>
      </c>
    </row>
    <row r="25">
      <c r="A25" t="inlineStr">
        <is>
          <t>2026-05-29</t>
        </is>
      </c>
      <c r="B25" t="inlineStr">
        <is>
          <t>083500</t>
        </is>
      </c>
      <c r="C25" t="inlineStr">
        <is>
          <t>에프엔에스테크</t>
        </is>
      </c>
      <c r="D25" t="inlineStr">
        <is>
          <t>코스닥</t>
        </is>
      </c>
      <c r="E25" s="11" t="n">
        <v>7.23</v>
      </c>
      <c r="F25" s="11" t="n">
        <v>79.09999999999999</v>
      </c>
      <c r="G25" s="8">
        <f>IF(F25=0,0,E25/F25)</f>
        <v/>
      </c>
      <c r="H25" s="11" t="n">
        <v>0</v>
      </c>
      <c r="I25" s="8" t="n">
        <v>-0.0485</v>
      </c>
      <c r="J25" s="8" t="n">
        <v>0.0191</v>
      </c>
    </row>
    <row r="26">
      <c r="A26" t="inlineStr">
        <is>
          <t>2026-05-28</t>
        </is>
      </c>
      <c r="B26" t="inlineStr">
        <is>
          <t>416180</t>
        </is>
      </c>
      <c r="C26" t="inlineStr">
        <is>
          <t>신성에스티</t>
        </is>
      </c>
      <c r="D26" t="inlineStr">
        <is>
          <t>코스닥</t>
        </is>
      </c>
      <c r="E26" s="11" t="n">
        <v>3.41</v>
      </c>
      <c r="F26" s="11" t="n">
        <v>18.14</v>
      </c>
      <c r="G26" s="8">
        <f>IF(F26=0,0,E26/F26)</f>
        <v/>
      </c>
      <c r="H26" s="11" t="n">
        <v>0</v>
      </c>
      <c r="I26" s="8" t="n">
        <v>-0.0444</v>
      </c>
      <c r="J26" s="8" t="n">
        <v>-0.1675</v>
      </c>
    </row>
    <row r="27">
      <c r="A27" t="inlineStr">
        <is>
          <t>2026-05-26</t>
        </is>
      </c>
      <c r="B27" t="inlineStr">
        <is>
          <t>027360</t>
        </is>
      </c>
      <c r="C27" t="inlineStr">
        <is>
          <t>아주IB투자</t>
        </is>
      </c>
      <c r="D27" t="inlineStr">
        <is>
          <t>코스닥</t>
        </is>
      </c>
      <c r="E27" s="11" t="n">
        <v>20</v>
      </c>
      <c r="F27" s="11" t="n">
        <v>2962.66</v>
      </c>
      <c r="G27" s="8">
        <f>IF(F27=0,0,E27/F27)</f>
        <v/>
      </c>
      <c r="H27" s="11" t="n">
        <v>0</v>
      </c>
      <c r="I27" s="8" t="n">
        <v>-0.24</v>
      </c>
      <c r="J27" s="8" t="n">
        <v>-0.4293</v>
      </c>
    </row>
    <row r="28">
      <c r="A28" t="inlineStr">
        <is>
          <t>2026-05-22</t>
        </is>
      </c>
      <c r="B28" t="inlineStr">
        <is>
          <t>036010</t>
        </is>
      </c>
      <c r="C28" t="inlineStr">
        <is>
          <t>아비코전자</t>
        </is>
      </c>
      <c r="D28" t="inlineStr">
        <is>
          <t>코스닥</t>
        </is>
      </c>
      <c r="E28" s="11" t="n">
        <v>5.07</v>
      </c>
      <c r="F28" s="11" t="n">
        <v>36.79</v>
      </c>
      <c r="G28" s="8">
        <f>IF(F28=0,0,E28/F28)</f>
        <v/>
      </c>
      <c r="H28" s="11" t="n">
        <v>0</v>
      </c>
      <c r="I28" s="8" t="n">
        <v>0.3523</v>
      </c>
      <c r="J28" s="8" t="n">
        <v>0.1274</v>
      </c>
    </row>
    <row r="29">
      <c r="A29" t="inlineStr">
        <is>
          <t>2026-05-22</t>
        </is>
      </c>
      <c r="B29" t="inlineStr">
        <is>
          <t>158430</t>
        </is>
      </c>
      <c r="C29" t="inlineStr">
        <is>
          <t>아톤</t>
        </is>
      </c>
      <c r="D29" t="inlineStr">
        <is>
          <t>코스닥</t>
        </is>
      </c>
      <c r="E29" s="11" t="n">
        <v>5.26</v>
      </c>
      <c r="F29" s="11" t="n">
        <v>111.69</v>
      </c>
      <c r="G29" s="8">
        <f>IF(F29=0,0,E29/F29)</f>
        <v/>
      </c>
      <c r="H29" s="11" t="n">
        <v>0</v>
      </c>
      <c r="I29" s="8" t="n">
        <v>-0.0188</v>
      </c>
      <c r="J29" s="8" t="n">
        <v>-0.0885</v>
      </c>
    </row>
    <row r="30">
      <c r="A30" t="inlineStr">
        <is>
          <t>2026-05-21</t>
        </is>
      </c>
      <c r="B30" t="inlineStr">
        <is>
          <t>017900</t>
        </is>
      </c>
      <c r="C30" t="inlineStr">
        <is>
          <t>광전자</t>
        </is>
      </c>
      <c r="D30" t="inlineStr">
        <is>
          <t>코스피</t>
        </is>
      </c>
      <c r="E30" s="11" t="n">
        <v>5.83</v>
      </c>
      <c r="F30" s="11" t="n">
        <v>827.67</v>
      </c>
      <c r="G30" s="8">
        <f>IF(F30=0,0,E30/F30)</f>
        <v/>
      </c>
      <c r="H30" s="11" t="n">
        <v>0</v>
      </c>
      <c r="I30" s="8" t="n">
        <v>-0.1711</v>
      </c>
      <c r="J30" s="8" t="n">
        <v>-0.2653</v>
      </c>
    </row>
    <row r="31">
      <c r="A31" t="inlineStr">
        <is>
          <t>2026-05-20</t>
        </is>
      </c>
      <c r="B31" t="inlineStr">
        <is>
          <t>005950</t>
        </is>
      </c>
      <c r="C31" t="inlineStr">
        <is>
          <t>이수화학</t>
        </is>
      </c>
      <c r="D31" t="inlineStr">
        <is>
          <t>코스피</t>
        </is>
      </c>
      <c r="E31" s="11" t="n">
        <v>15.09</v>
      </c>
      <c r="F31" s="11" t="n">
        <v>217.34</v>
      </c>
      <c r="G31" s="8">
        <f>IF(F31=0,0,E31/F31)</f>
        <v/>
      </c>
      <c r="H31" s="11" t="n">
        <v>0.26</v>
      </c>
      <c r="I31" s="8" t="n">
        <v>0.1438</v>
      </c>
      <c r="J31" s="8" t="n">
        <v>0.0599</v>
      </c>
    </row>
    <row r="32">
      <c r="A32" t="inlineStr">
        <is>
          <t>2026-05-18</t>
        </is>
      </c>
      <c r="B32" t="inlineStr">
        <is>
          <t>251970</t>
        </is>
      </c>
      <c r="C32" t="inlineStr">
        <is>
          <t>펌텍코리아</t>
        </is>
      </c>
      <c r="D32" t="inlineStr">
        <is>
          <t>코스닥</t>
        </is>
      </c>
      <c r="E32" s="11" t="n">
        <v>3.4</v>
      </c>
      <c r="F32" s="11" t="n">
        <v>18.47</v>
      </c>
      <c r="G32" s="8">
        <f>IF(F32=0,0,E32/F32)</f>
        <v/>
      </c>
      <c r="H32" s="11" t="n">
        <v>0.15</v>
      </c>
      <c r="I32" s="8" t="n">
        <v>-0.0367</v>
      </c>
      <c r="J32" s="8" t="n">
        <v>0.0718</v>
      </c>
    </row>
    <row r="33">
      <c r="A33" t="inlineStr">
        <is>
          <t>2026-05-18</t>
        </is>
      </c>
      <c r="B33" t="inlineStr">
        <is>
          <t>000430</t>
        </is>
      </c>
      <c r="C33" t="inlineStr">
        <is>
          <t>대원강업</t>
        </is>
      </c>
      <c r="D33" t="inlineStr">
        <is>
          <t>코스피</t>
        </is>
      </c>
      <c r="E33" s="11" t="n">
        <v>3.76</v>
      </c>
      <c r="F33" s="11" t="n">
        <v>13.74</v>
      </c>
      <c r="G33" s="8">
        <f>IF(F33=0,0,E33/F33)</f>
        <v/>
      </c>
      <c r="H33" s="11" t="n">
        <v>0.26</v>
      </c>
      <c r="I33" s="8" t="n">
        <v>0.0403</v>
      </c>
      <c r="J33" s="8" t="n">
        <v>0.2046</v>
      </c>
    </row>
    <row r="34">
      <c r="A34" t="inlineStr">
        <is>
          <t>2026-05-15</t>
        </is>
      </c>
      <c r="B34" t="inlineStr">
        <is>
          <t>000650</t>
        </is>
      </c>
      <c r="C34" t="inlineStr">
        <is>
          <t>천일고속</t>
        </is>
      </c>
      <c r="D34" t="inlineStr">
        <is>
          <t>코스피</t>
        </is>
      </c>
      <c r="E34" s="11" t="n">
        <v>3.54</v>
      </c>
      <c r="F34" s="11" t="n">
        <v>12.27</v>
      </c>
      <c r="G34" s="8">
        <f>IF(F34=0,0,E34/F34)</f>
        <v/>
      </c>
      <c r="H34" s="11" t="n">
        <v>0</v>
      </c>
      <c r="I34" s="8" t="n">
        <v>-0.2215</v>
      </c>
      <c r="J34" s="8" t="n">
        <v>-0.2902</v>
      </c>
    </row>
    <row r="35">
      <c r="A35" t="inlineStr">
        <is>
          <t>2026-05-15</t>
        </is>
      </c>
      <c r="B35" t="inlineStr">
        <is>
          <t>008490</t>
        </is>
      </c>
      <c r="C35" t="inlineStr">
        <is>
          <t>서흥</t>
        </is>
      </c>
      <c r="D35" t="inlineStr">
        <is>
          <t>코스피</t>
        </is>
      </c>
      <c r="E35" s="11" t="n">
        <v>3.5</v>
      </c>
      <c r="F35" s="11" t="n">
        <v>7.16</v>
      </c>
      <c r="G35" s="8">
        <f>IF(F35=0,0,E35/F35)</f>
        <v/>
      </c>
      <c r="H35" s="11" t="n">
        <v>0.21</v>
      </c>
      <c r="I35" s="8" t="n">
        <v>0.1235</v>
      </c>
      <c r="J35" s="8" t="n">
        <v>-0.0235</v>
      </c>
    </row>
    <row r="36">
      <c r="A36" t="inlineStr">
        <is>
          <t>2026-05-15</t>
        </is>
      </c>
      <c r="B36" t="inlineStr">
        <is>
          <t>455900</t>
        </is>
      </c>
      <c r="C36" t="inlineStr">
        <is>
          <t>엔젤로보틱스</t>
        </is>
      </c>
      <c r="D36" t="inlineStr">
        <is>
          <t>코스닥</t>
        </is>
      </c>
      <c r="E36" s="11" t="n">
        <v>3.16</v>
      </c>
      <c r="F36" s="11" t="n">
        <v>23.68</v>
      </c>
      <c r="G36" s="8">
        <f>IF(F36=0,0,E36/F36)</f>
        <v/>
      </c>
      <c r="H36" s="11" t="n">
        <v>0</v>
      </c>
      <c r="I36" s="8" t="n">
        <v>-0.0946</v>
      </c>
      <c r="J36" s="8" t="n">
        <v>-0.068</v>
      </c>
    </row>
    <row r="37">
      <c r="A37" t="inlineStr">
        <is>
          <t>2026-05-14</t>
        </is>
      </c>
      <c r="B37" t="inlineStr">
        <is>
          <t>260970</t>
        </is>
      </c>
      <c r="C37" t="inlineStr">
        <is>
          <t>에스앤디</t>
        </is>
      </c>
      <c r="D37" t="inlineStr">
        <is>
          <t>코스닥</t>
        </is>
      </c>
      <c r="E37" s="11" t="n">
        <v>4.11</v>
      </c>
      <c r="F37" s="11" t="n">
        <v>15.44</v>
      </c>
      <c r="G37" s="8">
        <f>IF(F37=0,0,E37/F37)</f>
        <v/>
      </c>
      <c r="H37" s="11" t="n">
        <v>0.18</v>
      </c>
      <c r="I37" s="8" t="n">
        <v>0.1717</v>
      </c>
      <c r="J37" s="8" t="n">
        <v>0.0458</v>
      </c>
    </row>
    <row r="38">
      <c r="A38" t="inlineStr">
        <is>
          <t>2026-05-13</t>
        </is>
      </c>
      <c r="B38" t="inlineStr">
        <is>
          <t>445090</t>
        </is>
      </c>
      <c r="C38" t="inlineStr">
        <is>
          <t>에이직랜드</t>
        </is>
      </c>
      <c r="D38" t="inlineStr">
        <is>
          <t>코스닥</t>
        </is>
      </c>
      <c r="E38" s="11" t="n">
        <v>3.02</v>
      </c>
      <c r="F38" s="11" t="n">
        <v>30.48</v>
      </c>
      <c r="G38" s="8">
        <f>IF(F38=0,0,E38/F38)</f>
        <v/>
      </c>
      <c r="H38" s="11" t="n">
        <v>0</v>
      </c>
      <c r="I38" s="8" t="n">
        <v>0.08989999999999999</v>
      </c>
      <c r="J38" s="8" t="n">
        <v>0.1814</v>
      </c>
    </row>
    <row r="39">
      <c r="A39" t="inlineStr">
        <is>
          <t>2026-05-12</t>
        </is>
      </c>
      <c r="B39" t="inlineStr">
        <is>
          <t>200130</t>
        </is>
      </c>
      <c r="C39" t="inlineStr">
        <is>
          <t>콜마비앤에이치</t>
        </is>
      </c>
      <c r="D39" t="inlineStr">
        <is>
          <t>코스닥</t>
        </is>
      </c>
      <c r="E39" s="11" t="n">
        <v>3.12</v>
      </c>
      <c r="F39" s="11" t="n">
        <v>7.45</v>
      </c>
      <c r="G39" s="8">
        <f>IF(F39=0,0,E39/F39)</f>
        <v/>
      </c>
      <c r="H39" s="11" t="n">
        <v>0</v>
      </c>
      <c r="I39" s="8" t="n">
        <v>0.0551</v>
      </c>
      <c r="J39" s="8" t="n">
        <v>0.0056</v>
      </c>
    </row>
    <row r="40">
      <c r="A40" t="inlineStr">
        <is>
          <t>2026-05-12</t>
        </is>
      </c>
      <c r="B40" t="inlineStr">
        <is>
          <t>144960</t>
        </is>
      </c>
      <c r="C40" t="inlineStr">
        <is>
          <t>뉴파워프라즈마</t>
        </is>
      </c>
      <c r="D40" t="inlineStr">
        <is>
          <t>코스닥</t>
        </is>
      </c>
      <c r="E40" s="11" t="n">
        <v>6.28</v>
      </c>
      <c r="F40" s="11" t="n">
        <v>33.3</v>
      </c>
      <c r="G40" s="8">
        <f>IF(F40=0,0,E40/F40)</f>
        <v/>
      </c>
      <c r="H40" s="11" t="n">
        <v>0</v>
      </c>
      <c r="I40" s="8" t="n">
        <v>0.2298</v>
      </c>
      <c r="J40" s="8" t="n">
        <v>0.1473</v>
      </c>
    </row>
    <row r="41">
      <c r="A41" t="inlineStr">
        <is>
          <t>2026-05-11</t>
        </is>
      </c>
      <c r="B41" t="inlineStr">
        <is>
          <t>041830</t>
        </is>
      </c>
      <c r="C41" t="inlineStr">
        <is>
          <t>인바디</t>
        </is>
      </c>
      <c r="D41" t="inlineStr">
        <is>
          <t>코스닥</t>
        </is>
      </c>
      <c r="E41" s="11" t="n">
        <v>13.7</v>
      </c>
      <c r="F41" s="11" t="n">
        <v>14.5</v>
      </c>
      <c r="G41" s="8">
        <f>IF(F41=0,0,E41/F41)</f>
        <v/>
      </c>
      <c r="H41" s="11" t="n">
        <v>0.19</v>
      </c>
      <c r="I41" s="8" t="n">
        <v>0.1264</v>
      </c>
      <c r="J41" s="8" t="n">
        <v>0.3091</v>
      </c>
    </row>
    <row r="42">
      <c r="A42" t="inlineStr">
        <is>
          <t>2026-05-08</t>
        </is>
      </c>
      <c r="B42" t="inlineStr">
        <is>
          <t>319400</t>
        </is>
      </c>
      <c r="C42" t="inlineStr">
        <is>
          <t>현대무벡스</t>
        </is>
      </c>
      <c r="D42" t="inlineStr">
        <is>
          <t>코스닥</t>
        </is>
      </c>
      <c r="E42" s="11" t="n">
        <v>15.3</v>
      </c>
      <c r="F42" s="11" t="n">
        <v>653.3200000000001</v>
      </c>
      <c r="G42" s="8">
        <f>IF(F42=0,0,E42/F42)</f>
        <v/>
      </c>
      <c r="H42" s="11" t="n">
        <v>0</v>
      </c>
      <c r="I42" s="8" t="n">
        <v>0.1748</v>
      </c>
      <c r="J42" s="8" t="n">
        <v>0.1624</v>
      </c>
    </row>
    <row r="43">
      <c r="A43" t="inlineStr">
        <is>
          <t>2026-05-07</t>
        </is>
      </c>
      <c r="B43" t="inlineStr">
        <is>
          <t>110990</t>
        </is>
      </c>
      <c r="C43" t="inlineStr">
        <is>
          <t>디아이티</t>
        </is>
      </c>
      <c r="D43" t="inlineStr">
        <is>
          <t>코스닥</t>
        </is>
      </c>
      <c r="E43" s="11" t="n">
        <v>5.72</v>
      </c>
      <c r="F43" s="11" t="n">
        <v>44.01</v>
      </c>
      <c r="G43" s="8">
        <f>IF(F43=0,0,E43/F43)</f>
        <v/>
      </c>
      <c r="H43" s="11" t="n">
        <v>0</v>
      </c>
      <c r="I43" s="8" t="n">
        <v>0.0958</v>
      </c>
      <c r="J43" s="8" t="n">
        <v>0.08599999999999999</v>
      </c>
    </row>
    <row r="44">
      <c r="A44" t="inlineStr">
        <is>
          <t>2026-05-06</t>
        </is>
      </c>
      <c r="B44" t="inlineStr">
        <is>
          <t>003470</t>
        </is>
      </c>
      <c r="C44" t="inlineStr">
        <is>
          <t>유안타증권</t>
        </is>
      </c>
      <c r="D44" t="inlineStr">
        <is>
          <t>코스피</t>
        </is>
      </c>
      <c r="E44" s="11" t="n">
        <v>54.4</v>
      </c>
      <c r="F44" s="11" t="n">
        <v>99.19</v>
      </c>
      <c r="G44" s="8">
        <f>IF(F44=0,0,E44/F44)</f>
        <v/>
      </c>
      <c r="H44" s="11" t="n">
        <v>0.28</v>
      </c>
      <c r="I44" s="8" t="n">
        <v>-0.0809</v>
      </c>
      <c r="J44" s="8" t="n">
        <v>-0.1655</v>
      </c>
    </row>
    <row r="45">
      <c r="A45" t="inlineStr">
        <is>
          <t>2026-05-04</t>
        </is>
      </c>
      <c r="B45" t="inlineStr">
        <is>
          <t>254490</t>
        </is>
      </c>
      <c r="C45" t="inlineStr">
        <is>
          <t>미래반도체</t>
        </is>
      </c>
      <c r="D45" t="inlineStr">
        <is>
          <t>코스닥</t>
        </is>
      </c>
      <c r="E45" s="11" t="n">
        <v>6.58</v>
      </c>
      <c r="F45" s="11" t="n">
        <v>94.84</v>
      </c>
      <c r="G45" s="8">
        <f>IF(F45=0,0,E45/F45)</f>
        <v/>
      </c>
      <c r="H45" s="11" t="n">
        <v>0.06</v>
      </c>
      <c r="I45" s="8" t="n">
        <v>0.2108</v>
      </c>
      <c r="J45" s="8" t="n">
        <v>0.0852</v>
      </c>
    </row>
    <row r="46">
      <c r="A46" t="inlineStr">
        <is>
          <t>2026-04-29</t>
        </is>
      </c>
      <c r="B46" t="inlineStr">
        <is>
          <t>396300</t>
        </is>
      </c>
      <c r="C46" t="inlineStr">
        <is>
          <t>HT로보틱스</t>
        </is>
      </c>
      <c r="D46" t="inlineStr">
        <is>
          <t>코스닥</t>
        </is>
      </c>
      <c r="E46" s="11" t="n">
        <v>5.98</v>
      </c>
      <c r="F46" s="11" t="n">
        <v>70.56</v>
      </c>
      <c r="G46" s="8">
        <f>IF(F46=0,0,E46/F46)</f>
        <v/>
      </c>
      <c r="H46" s="11" t="n">
        <v>0</v>
      </c>
      <c r="I46" s="8" t="n">
        <v>0.1919</v>
      </c>
      <c r="J46" s="8" t="n">
        <v>0.2437</v>
      </c>
    </row>
    <row r="47">
      <c r="A47" t="inlineStr">
        <is>
          <t>2026-04-28</t>
        </is>
      </c>
      <c r="B47" t="inlineStr">
        <is>
          <t>419530</t>
        </is>
      </c>
      <c r="C47" t="inlineStr">
        <is>
          <t>SAMG엔터</t>
        </is>
      </c>
      <c r="D47" t="inlineStr">
        <is>
          <t>코스닥</t>
        </is>
      </c>
      <c r="E47" s="11" t="n">
        <v>13.15</v>
      </c>
      <c r="F47" s="11" t="n">
        <v>27.78</v>
      </c>
      <c r="G47" s="8">
        <f>IF(F47=0,0,E47/F47)</f>
        <v/>
      </c>
      <c r="H47" s="11" t="n">
        <v>0.14</v>
      </c>
      <c r="I47" s="8" t="n">
        <v>-0.1434</v>
      </c>
      <c r="J47" s="8" t="n">
        <v>-0.2614</v>
      </c>
    </row>
    <row r="48">
      <c r="A48" t="inlineStr">
        <is>
          <t>2026-04-28</t>
        </is>
      </c>
      <c r="B48" t="inlineStr">
        <is>
          <t>046890</t>
        </is>
      </c>
      <c r="C48" t="inlineStr">
        <is>
          <t>서울반도체</t>
        </is>
      </c>
      <c r="D48" t="inlineStr">
        <is>
          <t>코스닥</t>
        </is>
      </c>
      <c r="E48" s="11" t="n">
        <v>22.06</v>
      </c>
      <c r="F48" s="11" t="n">
        <v>159.19</v>
      </c>
      <c r="G48" s="8">
        <f>IF(F48=0,0,E48/F48)</f>
        <v/>
      </c>
      <c r="H48" s="11" t="n">
        <v>0</v>
      </c>
      <c r="I48" s="8" t="n">
        <v>0.2038</v>
      </c>
      <c r="J48" s="8" t="n">
        <v>0.09370000000000001</v>
      </c>
    </row>
    <row r="49">
      <c r="A49" t="inlineStr">
        <is>
          <t>2026-04-23</t>
        </is>
      </c>
      <c r="B49" t="inlineStr">
        <is>
          <t>308080</t>
        </is>
      </c>
      <c r="C49" t="inlineStr">
        <is>
          <t>바이젠셀</t>
        </is>
      </c>
      <c r="D49" t="inlineStr">
        <is>
          <t>코스닥</t>
        </is>
      </c>
      <c r="E49" s="11" t="n">
        <v>3.91</v>
      </c>
      <c r="F49" s="11" t="n">
        <v>16.79</v>
      </c>
      <c r="G49" s="8">
        <f>IF(F49=0,0,E49/F49)</f>
        <v/>
      </c>
      <c r="H49" s="11" t="n">
        <v>0</v>
      </c>
      <c r="I49" s="8" t="n">
        <v>0.08400000000000001</v>
      </c>
      <c r="J49" s="8" t="n">
        <v>0.3967</v>
      </c>
    </row>
    <row r="50">
      <c r="A50" t="inlineStr">
        <is>
          <t>2026-04-22</t>
        </is>
      </c>
      <c r="B50" t="inlineStr">
        <is>
          <t>073010</t>
        </is>
      </c>
      <c r="C50" t="inlineStr">
        <is>
          <t>케이에스피</t>
        </is>
      </c>
      <c r="D50" t="inlineStr">
        <is>
          <t>코스닥</t>
        </is>
      </c>
      <c r="E50" s="11" t="n">
        <v>3.29</v>
      </c>
      <c r="F50" s="11" t="n">
        <v>17.34</v>
      </c>
      <c r="G50" s="8">
        <f>IF(F50=0,0,E50/F50)</f>
        <v/>
      </c>
      <c r="H50" s="11" t="n">
        <v>0</v>
      </c>
      <c r="I50" s="8" t="n">
        <v>0.1774</v>
      </c>
      <c r="J50" s="8" t="n">
        <v>0.0289</v>
      </c>
    </row>
    <row r="51">
      <c r="A51" t="inlineStr">
        <is>
          <t>2026-04-22</t>
        </is>
      </c>
      <c r="B51" t="inlineStr">
        <is>
          <t>0008Z0</t>
        </is>
      </c>
      <c r="C51" t="inlineStr">
        <is>
          <t>에스엔시스</t>
        </is>
      </c>
      <c r="D51" t="inlineStr">
        <is>
          <t>코스닥</t>
        </is>
      </c>
      <c r="E51" s="11" t="n">
        <v>5.01</v>
      </c>
      <c r="F51" s="11" t="n">
        <v>28.56</v>
      </c>
      <c r="G51" s="8">
        <f>IF(F51=0,0,E51/F51)</f>
        <v/>
      </c>
      <c r="H51" s="11" t="n">
        <v>0</v>
      </c>
      <c r="I51" s="8" t="n">
        <v>0.0592</v>
      </c>
      <c r="J51" s="8" t="n">
        <v>-0.0565</v>
      </c>
    </row>
    <row r="52">
      <c r="A52" t="inlineStr">
        <is>
          <t>2026-04-21</t>
        </is>
      </c>
      <c r="B52" t="inlineStr">
        <is>
          <t>469610</t>
        </is>
      </c>
      <c r="C52" t="inlineStr">
        <is>
          <t>이노테크</t>
        </is>
      </c>
      <c r="D52" t="inlineStr">
        <is>
          <t>코스닥</t>
        </is>
      </c>
      <c r="E52" s="11" t="n">
        <v>3.78</v>
      </c>
      <c r="F52" s="11" t="n">
        <v>13.03</v>
      </c>
      <c r="G52" s="8">
        <f>IF(F52=0,0,E52/F52)</f>
        <v/>
      </c>
      <c r="H52" s="11" t="n">
        <v>0</v>
      </c>
      <c r="I52" s="8" t="n">
        <v>0.1378</v>
      </c>
      <c r="J52" s="8" t="n">
        <v>-0.1636</v>
      </c>
    </row>
    <row r="53">
      <c r="A53" t="inlineStr">
        <is>
          <t>2026-04-21</t>
        </is>
      </c>
      <c r="B53" t="inlineStr">
        <is>
          <t>378340</t>
        </is>
      </c>
      <c r="C53" t="inlineStr">
        <is>
          <t>필에너지</t>
        </is>
      </c>
      <c r="D53" t="inlineStr">
        <is>
          <t>코스닥</t>
        </is>
      </c>
      <c r="E53" s="11" t="n">
        <v>4.47</v>
      </c>
      <c r="F53" s="11" t="n">
        <v>15.97</v>
      </c>
      <c r="G53" s="8">
        <f>IF(F53=0,0,E53/F53)</f>
        <v/>
      </c>
      <c r="H53" s="11" t="n">
        <v>0</v>
      </c>
      <c r="I53" s="8" t="n">
        <v>-0.1062</v>
      </c>
      <c r="J53" s="8" t="n">
        <v>-0.1674</v>
      </c>
    </row>
    <row r="54">
      <c r="A54" t="inlineStr">
        <is>
          <t>2026-04-21</t>
        </is>
      </c>
      <c r="B54" t="inlineStr">
        <is>
          <t>114190</t>
        </is>
      </c>
      <c r="C54" t="inlineStr">
        <is>
          <t>강원에너지</t>
        </is>
      </c>
      <c r="D54" t="inlineStr">
        <is>
          <t>코스닥</t>
        </is>
      </c>
      <c r="E54" s="11" t="n">
        <v>4.05</v>
      </c>
      <c r="F54" s="11" t="n">
        <v>66.97</v>
      </c>
      <c r="G54" s="8">
        <f>IF(F54=0,0,E54/F54)</f>
        <v/>
      </c>
      <c r="H54" s="11" t="n">
        <v>0</v>
      </c>
      <c r="I54" s="8" t="n">
        <v>-0.0253</v>
      </c>
      <c r="J54" s="8" t="n">
        <v>-0.1265</v>
      </c>
    </row>
    <row r="55">
      <c r="A55" t="inlineStr">
        <is>
          <t>2026-04-20</t>
        </is>
      </c>
      <c r="B55" t="inlineStr">
        <is>
          <t>222040</t>
        </is>
      </c>
      <c r="C55" t="inlineStr">
        <is>
          <t>코스맥스엔비티</t>
        </is>
      </c>
      <c r="D55" t="inlineStr">
        <is>
          <t>코스닥</t>
        </is>
      </c>
      <c r="E55" s="11" t="n">
        <v>4.96</v>
      </c>
      <c r="F55" s="11" t="n">
        <v>3.97</v>
      </c>
      <c r="G55" s="8">
        <f>IF(F55=0,0,E55/F55)</f>
        <v/>
      </c>
      <c r="H55" s="11" t="n">
        <v>0</v>
      </c>
      <c r="I55" s="8" t="n">
        <v>-0.0644</v>
      </c>
      <c r="J55" s="8" t="n">
        <v>0.829</v>
      </c>
    </row>
    <row r="56">
      <c r="A56" t="inlineStr">
        <is>
          <t>2026-04-17</t>
        </is>
      </c>
      <c r="B56" t="inlineStr">
        <is>
          <t>452280</t>
        </is>
      </c>
      <c r="C56" t="inlineStr">
        <is>
          <t>한선엔지니어링</t>
        </is>
      </c>
      <c r="D56" t="inlineStr">
        <is>
          <t>코스닥</t>
        </is>
      </c>
      <c r="E56" s="11" t="n">
        <v>5.13</v>
      </c>
      <c r="F56" s="11" t="n">
        <v>68.17</v>
      </c>
      <c r="G56" s="8">
        <f>IF(F56=0,0,E56/F56)</f>
        <v/>
      </c>
      <c r="H56" s="11" t="n">
        <v>0</v>
      </c>
      <c r="I56" s="8" t="n">
        <v>0.0489</v>
      </c>
      <c r="J56" s="8" t="n">
        <v>1.0568</v>
      </c>
    </row>
    <row r="57">
      <c r="A57" t="inlineStr">
        <is>
          <t>2026-04-16</t>
        </is>
      </c>
      <c r="B57" t="inlineStr">
        <is>
          <t>417840</t>
        </is>
      </c>
      <c r="C57" t="inlineStr">
        <is>
          <t>저스템</t>
        </is>
      </c>
      <c r="D57" t="inlineStr">
        <is>
          <t>코스닥</t>
        </is>
      </c>
      <c r="E57" s="11" t="n">
        <v>12.04</v>
      </c>
      <c r="F57" s="11" t="n">
        <v>134.59</v>
      </c>
      <c r="G57" s="8">
        <f>IF(F57=0,0,E57/F57)</f>
        <v/>
      </c>
      <c r="H57" s="11" t="n">
        <v>0</v>
      </c>
      <c r="I57" s="8" t="n">
        <v>0.0814</v>
      </c>
      <c r="J57" s="8" t="n">
        <v>0.657</v>
      </c>
    </row>
    <row r="58">
      <c r="A58" t="inlineStr">
        <is>
          <t>2026-04-15</t>
        </is>
      </c>
      <c r="B58" t="inlineStr">
        <is>
          <t>004710</t>
        </is>
      </c>
      <c r="C58" t="inlineStr">
        <is>
          <t>한솔테크닉스</t>
        </is>
      </c>
      <c r="D58" t="inlineStr">
        <is>
          <t>코스피</t>
        </is>
      </c>
      <c r="E58" s="11" t="n">
        <v>10.54</v>
      </c>
      <c r="F58" s="11" t="n">
        <v>77.19</v>
      </c>
      <c r="G58" s="8">
        <f>IF(F58=0,0,E58/F58)</f>
        <v/>
      </c>
      <c r="H58" s="11" t="n">
        <v>0.26</v>
      </c>
      <c r="I58" s="8" t="n">
        <v>-0.0407</v>
      </c>
      <c r="J58" s="8" t="n">
        <v>0.7782</v>
      </c>
    </row>
    <row r="59">
      <c r="A59" t="inlineStr">
        <is>
          <t>2026-04-10</t>
        </is>
      </c>
      <c r="B59" t="inlineStr">
        <is>
          <t>382800</t>
        </is>
      </c>
      <c r="C59" t="inlineStr">
        <is>
          <t>지앤비에스 에코</t>
        </is>
      </c>
      <c r="D59" t="inlineStr">
        <is>
          <t>코스닥</t>
        </is>
      </c>
      <c r="E59" s="11" t="n">
        <v>10.53</v>
      </c>
      <c r="F59" s="11" t="n">
        <v>88.59</v>
      </c>
      <c r="G59" s="8">
        <f>IF(F59=0,0,E59/F59)</f>
        <v/>
      </c>
      <c r="H59" s="11" t="n">
        <v>0</v>
      </c>
      <c r="I59" s="8" t="n">
        <v>-0.0537</v>
      </c>
      <c r="J59" s="8" t="n">
        <v>0.2421</v>
      </c>
    </row>
    <row r="60">
      <c r="A60" t="inlineStr">
        <is>
          <t>2026-04-10</t>
        </is>
      </c>
      <c r="B60" t="inlineStr">
        <is>
          <t>168360</t>
        </is>
      </c>
      <c r="C60" t="inlineStr">
        <is>
          <t>펨트론</t>
        </is>
      </c>
      <c r="D60" t="inlineStr">
        <is>
          <t>코스닥</t>
        </is>
      </c>
      <c r="E60" s="11" t="n">
        <v>4.27</v>
      </c>
      <c r="F60" s="11" t="n">
        <v>33</v>
      </c>
      <c r="G60" s="8">
        <f>IF(F60=0,0,E60/F60)</f>
        <v/>
      </c>
      <c r="H60" s="11" t="n">
        <v>0</v>
      </c>
      <c r="I60" s="8" t="n">
        <v>-0.0143</v>
      </c>
      <c r="J60" s="8" t="n">
        <v>0.1452</v>
      </c>
    </row>
    <row r="61">
      <c r="A61" t="inlineStr">
        <is>
          <t>2026-04-06</t>
        </is>
      </c>
      <c r="B61" t="inlineStr">
        <is>
          <t>104700</t>
        </is>
      </c>
      <c r="C61" t="inlineStr">
        <is>
          <t>한국철강</t>
        </is>
      </c>
      <c r="D61" t="inlineStr">
        <is>
          <t>코스피</t>
        </is>
      </c>
      <c r="E61" s="11" t="n">
        <v>3.06</v>
      </c>
      <c r="F61" s="11" t="n">
        <v>3.9</v>
      </c>
      <c r="G61" s="8">
        <f>IF(F61=0,0,E61/F61)</f>
        <v/>
      </c>
      <c r="H61" s="11" t="n">
        <v>0.19</v>
      </c>
      <c r="I61" s="8" t="n">
        <v>0.1006</v>
      </c>
      <c r="J61" s="8" t="n">
        <v>0.0387</v>
      </c>
    </row>
    <row r="62">
      <c r="A62" t="inlineStr">
        <is>
          <t>2026-04-03</t>
        </is>
      </c>
      <c r="B62" t="inlineStr">
        <is>
          <t>010100</t>
        </is>
      </c>
      <c r="C62" t="inlineStr">
        <is>
          <t>한국무브넥스</t>
        </is>
      </c>
      <c r="D62" t="inlineStr">
        <is>
          <t>코스피</t>
        </is>
      </c>
      <c r="E62" s="11" t="n">
        <v>4.11</v>
      </c>
      <c r="F62" s="11" t="n">
        <v>10.99</v>
      </c>
      <c r="G62" s="8">
        <f>IF(F62=0,0,E62/F62)</f>
        <v/>
      </c>
      <c r="H62" s="11" t="n">
        <v>0</v>
      </c>
      <c r="I62" s="8" t="n">
        <v>-0.0092</v>
      </c>
      <c r="J62" s="8" t="n">
        <v>-0.0161</v>
      </c>
    </row>
    <row r="63">
      <c r="A63" t="inlineStr">
        <is>
          <t>2026-04-03</t>
        </is>
      </c>
      <c r="B63" t="inlineStr">
        <is>
          <t>232680</t>
        </is>
      </c>
      <c r="C63" t="inlineStr">
        <is>
          <t>라온로보틱스</t>
        </is>
      </c>
      <c r="D63" t="inlineStr">
        <is>
          <t>코스닥</t>
        </is>
      </c>
      <c r="E63" s="11" t="n">
        <v>3.04</v>
      </c>
      <c r="F63" s="11" t="n">
        <v>33.09</v>
      </c>
      <c r="G63" s="8">
        <f>IF(F63=0,0,E63/F63)</f>
        <v/>
      </c>
      <c r="H63" s="11" t="n">
        <v>0</v>
      </c>
      <c r="I63" s="8" t="n">
        <v>-0.0056</v>
      </c>
      <c r="J63" s="8" t="n">
        <v>0.0669</v>
      </c>
    </row>
    <row r="64">
      <c r="A64" t="inlineStr">
        <is>
          <t>2026-04-02</t>
        </is>
      </c>
      <c r="B64" t="inlineStr">
        <is>
          <t>037460</t>
        </is>
      </c>
      <c r="C64" t="inlineStr">
        <is>
          <t>삼지전자</t>
        </is>
      </c>
      <c r="D64" t="inlineStr">
        <is>
          <t>코스닥</t>
        </is>
      </c>
      <c r="E64" s="11" t="n">
        <v>11.04</v>
      </c>
      <c r="F64" s="11" t="n">
        <v>65.94</v>
      </c>
      <c r="G64" s="8">
        <f>IF(F64=0,0,E64/F64)</f>
        <v/>
      </c>
      <c r="H64" s="11" t="n">
        <v>0</v>
      </c>
      <c r="I64" s="8" t="n">
        <v>-0.021</v>
      </c>
      <c r="J64" s="8" t="n">
        <v>0.0505</v>
      </c>
    </row>
    <row r="65">
      <c r="A65" t="inlineStr">
        <is>
          <t>2026-03-31</t>
        </is>
      </c>
      <c r="B65" t="inlineStr">
        <is>
          <t>317330</t>
        </is>
      </c>
      <c r="C65" t="inlineStr">
        <is>
          <t>덕산테코피아</t>
        </is>
      </c>
      <c r="D65" t="inlineStr">
        <is>
          <t>코스닥</t>
        </is>
      </c>
      <c r="E65" s="11" t="n">
        <v>3.05</v>
      </c>
      <c r="F65" s="11" t="n">
        <v>25.14</v>
      </c>
      <c r="G65" s="8">
        <f>IF(F65=0,0,E65/F65)</f>
        <v/>
      </c>
      <c r="H65" s="11" t="n">
        <v>0</v>
      </c>
      <c r="I65" s="8" t="n">
        <v>-0.0482</v>
      </c>
      <c r="J65" s="8" t="n">
        <v>0.245</v>
      </c>
    </row>
    <row r="66">
      <c r="A66" t="inlineStr">
        <is>
          <t>2026-03-31</t>
        </is>
      </c>
      <c r="B66" t="inlineStr">
        <is>
          <t>042600</t>
        </is>
      </c>
      <c r="C66" t="inlineStr">
        <is>
          <t>새로닉스</t>
        </is>
      </c>
      <c r="D66" t="inlineStr">
        <is>
          <t>코스닥</t>
        </is>
      </c>
      <c r="E66" s="11" t="n">
        <v>5.25</v>
      </c>
      <c r="F66" s="11" t="n">
        <v>7.47</v>
      </c>
      <c r="G66" s="8">
        <f>IF(F66=0,0,E66/F66)</f>
        <v/>
      </c>
      <c r="H66" s="11" t="n">
        <v>0</v>
      </c>
      <c r="I66" s="8" t="n">
        <v>0.3019</v>
      </c>
      <c r="J66" s="8" t="n">
        <v>0.2112</v>
      </c>
    </row>
    <row r="67">
      <c r="A67" t="inlineStr">
        <is>
          <t>2026-03-30</t>
        </is>
      </c>
      <c r="B67" t="inlineStr">
        <is>
          <t>080580</t>
        </is>
      </c>
      <c r="C67" t="inlineStr">
        <is>
          <t>오킨스전자</t>
        </is>
      </c>
      <c r="D67" t="inlineStr">
        <is>
          <t>코스닥</t>
        </is>
      </c>
      <c r="E67" s="11" t="n">
        <v>14.95</v>
      </c>
      <c r="F67" s="11" t="n">
        <v>150.4</v>
      </c>
      <c r="G67" s="8">
        <f>IF(F67=0,0,E67/F67)</f>
        <v/>
      </c>
      <c r="H67" s="11" t="n">
        <v>0</v>
      </c>
      <c r="I67" s="8" t="n">
        <v>-0.0061</v>
      </c>
      <c r="J67" s="8" t="n">
        <v>0.0447</v>
      </c>
    </row>
    <row r="68">
      <c r="A68" t="inlineStr">
        <is>
          <t>2026-03-30</t>
        </is>
      </c>
      <c r="B68" t="inlineStr">
        <is>
          <t>053700</t>
        </is>
      </c>
      <c r="C68" t="inlineStr">
        <is>
          <t>삼보모터스</t>
        </is>
      </c>
      <c r="D68" t="inlineStr">
        <is>
          <t>코스닥</t>
        </is>
      </c>
      <c r="E68" s="11" t="n">
        <v>3.01</v>
      </c>
      <c r="F68" s="11" t="n">
        <v>35.06</v>
      </c>
      <c r="G68" s="8">
        <f>IF(F68=0,0,E68/F68)</f>
        <v/>
      </c>
      <c r="H68" s="11" t="n">
        <v>0</v>
      </c>
      <c r="I68" s="8" t="n">
        <v>-0.0358</v>
      </c>
      <c r="J68" s="8" t="n">
        <v>-0.0796</v>
      </c>
    </row>
    <row r="69">
      <c r="A69" t="inlineStr">
        <is>
          <t>2026-03-24</t>
        </is>
      </c>
      <c r="B69" t="inlineStr">
        <is>
          <t>314130</t>
        </is>
      </c>
      <c r="C69" t="inlineStr">
        <is>
          <t>지놈앤컴퍼니</t>
        </is>
      </c>
      <c r="D69" t="inlineStr">
        <is>
          <t>코스닥</t>
        </is>
      </c>
      <c r="E69" s="11" t="n">
        <v>4.25</v>
      </c>
      <c r="F69" s="11" t="n">
        <v>52.03</v>
      </c>
      <c r="G69" s="8">
        <f>IF(F69=0,0,E69/F69)</f>
        <v/>
      </c>
      <c r="H69" s="11" t="n">
        <v>0.14</v>
      </c>
      <c r="I69" s="8" t="n">
        <v>-0.114</v>
      </c>
      <c r="J69" s="8" t="n">
        <v>-0.4161</v>
      </c>
    </row>
    <row r="70">
      <c r="A70" t="inlineStr">
        <is>
          <t>2026-03-20</t>
        </is>
      </c>
      <c r="B70" t="inlineStr">
        <is>
          <t>217590</t>
        </is>
      </c>
      <c r="C70" t="inlineStr">
        <is>
          <t>티엠씨</t>
        </is>
      </c>
      <c r="D70" t="inlineStr">
        <is>
          <t>코스피</t>
        </is>
      </c>
      <c r="E70" s="11" t="n">
        <v>18.8</v>
      </c>
      <c r="F70" s="11" t="n">
        <v>111.97</v>
      </c>
      <c r="G70" s="8">
        <f>IF(F70=0,0,E70/F70)</f>
        <v/>
      </c>
      <c r="H70" s="11" t="n">
        <v>0.28</v>
      </c>
      <c r="I70" s="8" t="n">
        <v>-0.122</v>
      </c>
      <c r="J70" s="8" t="n">
        <v>0.2373</v>
      </c>
    </row>
    <row r="71">
      <c r="A71" t="inlineStr">
        <is>
          <t>2026-03-19</t>
        </is>
      </c>
      <c r="B71" t="inlineStr">
        <is>
          <t>490470</t>
        </is>
      </c>
      <c r="C71" t="inlineStr">
        <is>
          <t>세미파이브</t>
        </is>
      </c>
      <c r="D71" t="inlineStr">
        <is>
          <t>코스닥</t>
        </is>
      </c>
      <c r="E71" s="11" t="n">
        <v>6.25</v>
      </c>
      <c r="F71" s="11" t="n">
        <v>178.95</v>
      </c>
      <c r="G71" s="8">
        <f>IF(F71=0,0,E71/F71)</f>
        <v/>
      </c>
      <c r="H71" s="11" t="n">
        <v>0</v>
      </c>
      <c r="I71" s="8" t="n">
        <v>-0.0801</v>
      </c>
      <c r="J71" s="8" t="n">
        <v>0.1531</v>
      </c>
    </row>
    <row r="72">
      <c r="A72" t="inlineStr">
        <is>
          <t>2026-03-17</t>
        </is>
      </c>
      <c r="B72" t="inlineStr">
        <is>
          <t>445680</t>
        </is>
      </c>
      <c r="C72" t="inlineStr">
        <is>
          <t>큐리옥스바이오시스템즈</t>
        </is>
      </c>
      <c r="D72" t="inlineStr">
        <is>
          <t>코스닥</t>
        </is>
      </c>
      <c r="E72" s="11" t="n">
        <v>20.23</v>
      </c>
      <c r="F72" s="11" t="n">
        <v>106.02</v>
      </c>
      <c r="G72" s="8">
        <f>IF(F72=0,0,E72/F72)</f>
        <v/>
      </c>
      <c r="H72" s="11" t="n">
        <v>0</v>
      </c>
      <c r="I72" s="8" t="n">
        <v>-0.079</v>
      </c>
      <c r="J72" s="8" t="n">
        <v>-0.233</v>
      </c>
    </row>
    <row r="73">
      <c r="A73" t="inlineStr">
        <is>
          <t>2026-03-16</t>
        </is>
      </c>
      <c r="B73" t="inlineStr">
        <is>
          <t>321550</t>
        </is>
      </c>
      <c r="C73" t="inlineStr">
        <is>
          <t>티움바이오</t>
        </is>
      </c>
      <c r="D73" t="inlineStr">
        <is>
          <t>코스닥</t>
        </is>
      </c>
      <c r="E73" s="11" t="n">
        <v>4.65</v>
      </c>
      <c r="F73" s="11" t="n">
        <v>21.46</v>
      </c>
      <c r="G73" s="8">
        <f>IF(F73=0,0,E73/F73)</f>
        <v/>
      </c>
      <c r="H73" s="11" t="n">
        <v>0.15</v>
      </c>
      <c r="I73" s="8" t="n">
        <v>0.4978</v>
      </c>
      <c r="J73" s="8" t="n">
        <v>0.3081</v>
      </c>
    </row>
    <row r="74">
      <c r="A74" t="inlineStr">
        <is>
          <t>2026-03-13</t>
        </is>
      </c>
      <c r="B74" t="inlineStr">
        <is>
          <t>388790</t>
        </is>
      </c>
      <c r="C74" t="inlineStr">
        <is>
          <t>라이콤</t>
        </is>
      </c>
      <c r="D74" t="inlineStr">
        <is>
          <t>코스닥</t>
        </is>
      </c>
      <c r="E74" s="11" t="n">
        <v>6.68</v>
      </c>
      <c r="F74" s="11" t="n">
        <v>85.89</v>
      </c>
      <c r="G74" s="8">
        <f>IF(F74=0,0,E74/F74)</f>
        <v/>
      </c>
      <c r="H74" s="11" t="n">
        <v>0</v>
      </c>
      <c r="I74" s="8" t="n">
        <v>-0.2305</v>
      </c>
      <c r="J74" s="8" t="n">
        <v>0.0669</v>
      </c>
    </row>
    <row r="75">
      <c r="A75" t="inlineStr">
        <is>
          <t>2026-03-12</t>
        </is>
      </c>
      <c r="B75" t="inlineStr">
        <is>
          <t>357580</t>
        </is>
      </c>
      <c r="C75" t="inlineStr">
        <is>
          <t>아모센스</t>
        </is>
      </c>
      <c r="D75" t="inlineStr">
        <is>
          <t>코스닥</t>
        </is>
      </c>
      <c r="E75" s="11" t="n">
        <v>14.01</v>
      </c>
      <c r="F75" s="11" t="n">
        <v>68.89</v>
      </c>
      <c r="G75" s="8">
        <f>IF(F75=0,0,E75/F75)</f>
        <v/>
      </c>
      <c r="H75" s="11" t="n">
        <v>0</v>
      </c>
      <c r="I75" s="8" t="n">
        <v>-0.0801</v>
      </c>
      <c r="J75" s="8" t="n">
        <v>-0.4443</v>
      </c>
    </row>
    <row r="76">
      <c r="A76" t="inlineStr">
        <is>
          <t>2026-03-11</t>
        </is>
      </c>
      <c r="B76" t="inlineStr">
        <is>
          <t>476060</t>
        </is>
      </c>
      <c r="C76" t="inlineStr">
        <is>
          <t>온코닉테라퓨틱스</t>
        </is>
      </c>
      <c r="D76" t="inlineStr">
        <is>
          <t>코스닥</t>
        </is>
      </c>
      <c r="E76" s="11" t="n">
        <v>6.99</v>
      </c>
      <c r="F76" s="11" t="n">
        <v>385.15</v>
      </c>
      <c r="G76" s="8">
        <f>IF(F76=0,0,E76/F76)</f>
        <v/>
      </c>
      <c r="H76" s="11" t="n">
        <v>0</v>
      </c>
      <c r="I76" s="8" t="n">
        <v>0.08260000000000001</v>
      </c>
      <c r="J76" s="8" t="n">
        <v>-0.0369</v>
      </c>
    </row>
    <row r="77">
      <c r="A77" t="inlineStr">
        <is>
          <t>2026-03-11</t>
        </is>
      </c>
      <c r="B77" t="inlineStr">
        <is>
          <t>033160</t>
        </is>
      </c>
      <c r="C77" t="inlineStr">
        <is>
          <t>엠케이전자</t>
        </is>
      </c>
      <c r="D77" t="inlineStr">
        <is>
          <t>코스닥</t>
        </is>
      </c>
      <c r="E77" s="11" t="n">
        <v>9.5</v>
      </c>
      <c r="F77" s="11" t="n">
        <v>32.28</v>
      </c>
      <c r="G77" s="8">
        <f>IF(F77=0,0,E77/F77)</f>
        <v/>
      </c>
      <c r="H77" s="11" t="n">
        <v>0</v>
      </c>
      <c r="I77" s="8" t="n">
        <v>0.1075</v>
      </c>
      <c r="J77" s="8" t="n">
        <v>0.622</v>
      </c>
    </row>
    <row r="78">
      <c r="A78" t="inlineStr">
        <is>
          <t>2026-03-03</t>
        </is>
      </c>
      <c r="B78" t="inlineStr">
        <is>
          <t>054950</t>
        </is>
      </c>
      <c r="C78" t="inlineStr">
        <is>
          <t>제이브이엠</t>
        </is>
      </c>
      <c r="D78" t="inlineStr">
        <is>
          <t>코스닥</t>
        </is>
      </c>
      <c r="E78" s="11" t="n">
        <v>3.75</v>
      </c>
      <c r="F78" s="11" t="n">
        <v>16.23</v>
      </c>
      <c r="G78" s="8">
        <f>IF(F78=0,0,E78/F78)</f>
        <v/>
      </c>
      <c r="H78" s="11" t="n">
        <v>0</v>
      </c>
      <c r="I78" s="8" t="n">
        <v>0.08599999999999999</v>
      </c>
      <c r="J78" s="8" t="n">
        <v>0.0288</v>
      </c>
    </row>
    <row r="79">
      <c r="A79" t="inlineStr">
        <is>
          <t>2026-03-03</t>
        </is>
      </c>
      <c r="B79" t="inlineStr">
        <is>
          <t>089980</t>
        </is>
      </c>
      <c r="C79" t="inlineStr">
        <is>
          <t>상아프론테크</t>
        </is>
      </c>
      <c r="D79" t="inlineStr">
        <is>
          <t>코스닥</t>
        </is>
      </c>
      <c r="E79" s="11" t="n">
        <v>10.3</v>
      </c>
      <c r="F79" s="11" t="n">
        <v>44.88</v>
      </c>
      <c r="G79" s="8">
        <f>IF(F79=0,0,E79/F79)</f>
        <v/>
      </c>
      <c r="H79" s="11" t="n">
        <v>0</v>
      </c>
      <c r="I79" s="8" t="n">
        <v>-0.008200000000000001</v>
      </c>
      <c r="J79" s="8" t="n">
        <v>0.08409999999999999</v>
      </c>
    </row>
    <row r="80">
      <c r="A80" t="inlineStr">
        <is>
          <t>2026-02-24</t>
        </is>
      </c>
      <c r="B80" t="inlineStr">
        <is>
          <t>0009K0</t>
        </is>
      </c>
      <c r="C80" t="inlineStr">
        <is>
          <t>에임드바이오</t>
        </is>
      </c>
      <c r="D80" t="inlineStr">
        <is>
          <t>코스닥</t>
        </is>
      </c>
      <c r="E80" s="11" t="n">
        <v>7.9</v>
      </c>
      <c r="F80" s="11" t="n">
        <v>194.9</v>
      </c>
      <c r="G80" s="8">
        <f>IF(F80=0,0,E80/F80)</f>
        <v/>
      </c>
      <c r="H80" s="11" t="n">
        <v>0</v>
      </c>
      <c r="I80" s="8" t="n">
        <v>0.1412</v>
      </c>
      <c r="J80" s="8" t="n">
        <v>0.0664</v>
      </c>
    </row>
    <row r="81">
      <c r="A81" t="inlineStr">
        <is>
          <t>2026-02-23</t>
        </is>
      </c>
      <c r="B81" t="inlineStr">
        <is>
          <t>226590</t>
        </is>
      </c>
      <c r="C81" t="inlineStr">
        <is>
          <t>엠디바이스</t>
        </is>
      </c>
      <c r="D81" t="inlineStr">
        <is>
          <t>코스닥</t>
        </is>
      </c>
      <c r="E81" s="11" t="n">
        <v>11.15</v>
      </c>
      <c r="F81" s="11" t="n">
        <v>117.27</v>
      </c>
      <c r="G81" s="8">
        <f>IF(F81=0,0,E81/F81)</f>
        <v/>
      </c>
      <c r="H81" s="11" t="n">
        <v>0</v>
      </c>
      <c r="I81" s="8" t="n">
        <v>0.0396</v>
      </c>
      <c r="J81" s="8" t="n">
        <v>0.3037</v>
      </c>
    </row>
    <row r="82">
      <c r="A82" t="inlineStr">
        <is>
          <t>2026-02-20</t>
        </is>
      </c>
      <c r="B82" t="inlineStr">
        <is>
          <t>003547</t>
        </is>
      </c>
      <c r="C82" t="inlineStr">
        <is>
          <t>대신증권2우B</t>
        </is>
      </c>
      <c r="D82" t="inlineStr">
        <is>
          <t>코스피</t>
        </is>
      </c>
      <c r="E82" s="11" t="n">
        <v>3.99</v>
      </c>
      <c r="F82" s="11" t="n">
        <v>11.67</v>
      </c>
      <c r="G82" s="8">
        <f>IF(F82=0,0,E82/F82)</f>
        <v/>
      </c>
      <c r="H82" s="11" t="n">
        <v>0</v>
      </c>
      <c r="I82" s="8" t="n">
        <v>-0.07000000000000001</v>
      </c>
      <c r="J82" s="8" t="n">
        <v>-0.0438</v>
      </c>
    </row>
    <row r="83">
      <c r="A83" t="inlineStr">
        <is>
          <t>2026-02-19</t>
        </is>
      </c>
      <c r="B83" t="inlineStr">
        <is>
          <t>013120</t>
        </is>
      </c>
      <c r="C83" t="inlineStr">
        <is>
          <t>동원개발</t>
        </is>
      </c>
      <c r="D83" t="inlineStr">
        <is>
          <t>코스닥</t>
        </is>
      </c>
      <c r="E83" s="11" t="n">
        <v>3.73</v>
      </c>
      <c r="F83" s="11" t="n">
        <v>6.12</v>
      </c>
      <c r="G83" s="8">
        <f>IF(F83=0,0,E83/F83)</f>
        <v/>
      </c>
      <c r="H83" s="11" t="n">
        <v>0</v>
      </c>
      <c r="I83" s="8" t="n">
        <v>0.0237</v>
      </c>
      <c r="J83" s="8" t="n">
        <v>0.0498</v>
      </c>
    </row>
    <row r="84">
      <c r="A84" t="inlineStr">
        <is>
          <t>2026-02-13</t>
        </is>
      </c>
      <c r="B84" t="inlineStr">
        <is>
          <t>088130</t>
        </is>
      </c>
      <c r="C84" t="inlineStr">
        <is>
          <t>동아엘텍</t>
        </is>
      </c>
      <c r="D84" t="inlineStr">
        <is>
          <t>코스닥</t>
        </is>
      </c>
      <c r="E84" s="11" t="n">
        <v>6.32</v>
      </c>
      <c r="F84" s="11" t="n">
        <v>112.24</v>
      </c>
      <c r="G84" s="8">
        <f>IF(F84=0,0,E84/F84)</f>
        <v/>
      </c>
      <c r="H84" s="11" t="n">
        <v>0</v>
      </c>
      <c r="I84" s="8" t="n">
        <v>-0.054</v>
      </c>
      <c r="J84" s="8" t="n">
        <v>-0.0436</v>
      </c>
    </row>
    <row r="85">
      <c r="A85" t="inlineStr">
        <is>
          <t>2026-02-12</t>
        </is>
      </c>
      <c r="B85" t="inlineStr">
        <is>
          <t>089600</t>
        </is>
      </c>
      <c r="C85" t="inlineStr">
        <is>
          <t>KT나스미디어</t>
        </is>
      </c>
      <c r="D85" t="inlineStr">
        <is>
          <t>코스닥</t>
        </is>
      </c>
      <c r="E85" s="11" t="n">
        <v>3.78</v>
      </c>
      <c r="F85" s="11" t="n">
        <v>3.62</v>
      </c>
      <c r="G85" s="8">
        <f>IF(F85=0,0,E85/F85)</f>
        <v/>
      </c>
      <c r="H85" s="11" t="n">
        <v>0</v>
      </c>
      <c r="I85" s="8" t="n">
        <v>-0.0002</v>
      </c>
      <c r="J85" s="8" t="n">
        <v>-0.07530000000000001</v>
      </c>
    </row>
    <row r="86">
      <c r="A86" t="inlineStr">
        <is>
          <t>2026-02-11</t>
        </is>
      </c>
      <c r="B86" t="inlineStr">
        <is>
          <t>001820</t>
        </is>
      </c>
      <c r="C86" t="inlineStr">
        <is>
          <t>삼화콘덴서</t>
        </is>
      </c>
      <c r="D86" t="inlineStr">
        <is>
          <t>코스피</t>
        </is>
      </c>
      <c r="E86" s="11" t="n">
        <v>5.35</v>
      </c>
      <c r="F86" s="11" t="n">
        <v>35.58</v>
      </c>
      <c r="G86" s="8">
        <f>IF(F86=0,0,E86/F86)</f>
        <v/>
      </c>
      <c r="H86" s="11" t="n">
        <v>0.24</v>
      </c>
      <c r="I86" s="8" t="n">
        <v>0.484</v>
      </c>
      <c r="J86" s="8" t="n">
        <v>0.483</v>
      </c>
    </row>
    <row r="87">
      <c r="A87" t="inlineStr">
        <is>
          <t>2026-02-05</t>
        </is>
      </c>
      <c r="B87" t="inlineStr">
        <is>
          <t>330860</t>
        </is>
      </c>
      <c r="C87" t="inlineStr">
        <is>
          <t>네패스아크</t>
        </is>
      </c>
      <c r="D87" t="inlineStr">
        <is>
          <t>코스닥</t>
        </is>
      </c>
      <c r="E87" s="11" t="n">
        <v>11.02</v>
      </c>
      <c r="F87" s="11" t="n">
        <v>18.3</v>
      </c>
      <c r="G87" s="8">
        <f>IF(F87=0,0,E87/F87)</f>
        <v/>
      </c>
      <c r="H87" s="11" t="n">
        <v>0</v>
      </c>
      <c r="I87" s="8" t="n">
        <v>-0.0557</v>
      </c>
      <c r="J87" s="8" t="n">
        <v>-0.1313</v>
      </c>
    </row>
    <row r="88">
      <c r="A88" t="inlineStr">
        <is>
          <t>2026-02-04</t>
        </is>
      </c>
      <c r="B88" t="inlineStr">
        <is>
          <t>005960</t>
        </is>
      </c>
      <c r="C88" t="inlineStr">
        <is>
          <t>동부건설</t>
        </is>
      </c>
      <c r="D88" t="inlineStr">
        <is>
          <t>코스피</t>
        </is>
      </c>
      <c r="E88" s="11" t="n">
        <v>4.96</v>
      </c>
      <c r="F88" s="11" t="n">
        <v>5.06</v>
      </c>
      <c r="G88" s="8">
        <f>IF(F88=0,0,E88/F88)</f>
        <v/>
      </c>
      <c r="H88" s="11" t="n">
        <v>0.04</v>
      </c>
      <c r="I88" s="8" t="n">
        <v>0.1311</v>
      </c>
      <c r="J88" s="8" t="n">
        <v>0.189</v>
      </c>
    </row>
    <row r="89">
      <c r="A89" t="inlineStr">
        <is>
          <t>2026-02-04</t>
        </is>
      </c>
      <c r="B89" t="inlineStr">
        <is>
          <t>136490</t>
        </is>
      </c>
      <c r="C89" t="inlineStr">
        <is>
          <t>선진</t>
        </is>
      </c>
      <c r="D89" t="inlineStr">
        <is>
          <t>코스피</t>
        </is>
      </c>
      <c r="E89" s="11" t="n">
        <v>3.56</v>
      </c>
      <c r="F89" s="11" t="n">
        <v>32.41</v>
      </c>
      <c r="G89" s="8">
        <f>IF(F89=0,0,E89/F89)</f>
        <v/>
      </c>
      <c r="H89" s="11" t="n">
        <v>0.18</v>
      </c>
      <c r="I89" s="8" t="n">
        <v>-0.0885</v>
      </c>
      <c r="J89" s="8" t="n">
        <v>-0.1757</v>
      </c>
    </row>
    <row r="90">
      <c r="A90" t="inlineStr">
        <is>
          <t>2026-02-04</t>
        </is>
      </c>
      <c r="B90" t="inlineStr">
        <is>
          <t>178920</t>
        </is>
      </c>
      <c r="C90" t="inlineStr">
        <is>
          <t>PI첨단소재</t>
        </is>
      </c>
      <c r="D90" t="inlineStr">
        <is>
          <t>코스피</t>
        </is>
      </c>
      <c r="E90" s="11" t="n">
        <v>8.789999999999999</v>
      </c>
      <c r="F90" s="11" t="n">
        <v>23.44</v>
      </c>
      <c r="G90" s="8">
        <f>IF(F90=0,0,E90/F90)</f>
        <v/>
      </c>
      <c r="H90" s="11" t="n">
        <v>0.06</v>
      </c>
      <c r="I90" s="8" t="n">
        <v>0.0172</v>
      </c>
      <c r="J90" s="8" t="n">
        <v>0.0192</v>
      </c>
    </row>
    <row r="91">
      <c r="A91" t="inlineStr">
        <is>
          <t>2026-02-03</t>
        </is>
      </c>
      <c r="B91" t="inlineStr">
        <is>
          <t>043260</t>
        </is>
      </c>
      <c r="C91" t="inlineStr">
        <is>
          <t>성호전자</t>
        </is>
      </c>
      <c r="D91" t="inlineStr">
        <is>
          <t>코스닥</t>
        </is>
      </c>
      <c r="E91" s="11" t="n">
        <v>33.99</v>
      </c>
      <c r="F91" s="11" t="n">
        <v>252.08</v>
      </c>
      <c r="G91" s="8">
        <f>IF(F91=0,0,E91/F91)</f>
        <v/>
      </c>
      <c r="H91" s="11" t="n">
        <v>0</v>
      </c>
      <c r="I91" s="8" t="n">
        <v>0.3799</v>
      </c>
      <c r="J91" s="8" t="n">
        <v>1.0549</v>
      </c>
    </row>
    <row r="92">
      <c r="A92" t="inlineStr">
        <is>
          <t>2026-01-30</t>
        </is>
      </c>
      <c r="B92" t="inlineStr">
        <is>
          <t>003545</t>
        </is>
      </c>
      <c r="C92" t="inlineStr">
        <is>
          <t>대신증권우</t>
        </is>
      </c>
      <c r="D92" t="inlineStr">
        <is>
          <t>코스피</t>
        </is>
      </c>
      <c r="E92" s="11" t="n">
        <v>5.79</v>
      </c>
      <c r="F92" s="11" t="n">
        <v>22.61</v>
      </c>
      <c r="G92" s="8">
        <f>IF(F92=0,0,E92/F92)</f>
        <v/>
      </c>
      <c r="H92" s="11" t="n">
        <v>0.12</v>
      </c>
      <c r="I92" s="8" t="n">
        <v>-0.0117</v>
      </c>
      <c r="J92" s="8" t="n">
        <v>0.1428</v>
      </c>
    </row>
    <row r="93">
      <c r="A93" t="inlineStr">
        <is>
          <t>2026-01-30</t>
        </is>
      </c>
      <c r="B93" t="inlineStr">
        <is>
          <t>285490</t>
        </is>
      </c>
      <c r="C93" t="inlineStr">
        <is>
          <t>노바텍</t>
        </is>
      </c>
      <c r="D93" t="inlineStr">
        <is>
          <t>코스닥</t>
        </is>
      </c>
      <c r="E93" s="11" t="n">
        <v>5.17</v>
      </c>
      <c r="F93" s="11" t="n">
        <v>93.77</v>
      </c>
      <c r="G93" s="8">
        <f>IF(F93=0,0,E93/F93)</f>
        <v/>
      </c>
      <c r="H93" s="11" t="n">
        <v>0</v>
      </c>
      <c r="I93" s="8" t="n">
        <v>-0.09669999999999999</v>
      </c>
      <c r="J93" s="8" t="n">
        <v>-0.1735</v>
      </c>
    </row>
    <row r="94">
      <c r="A94" t="inlineStr">
        <is>
          <t>2026-01-28</t>
        </is>
      </c>
      <c r="B94" t="inlineStr">
        <is>
          <t>282720</t>
        </is>
      </c>
      <c r="C94" t="inlineStr">
        <is>
          <t>금양그린파워</t>
        </is>
      </c>
      <c r="D94" t="inlineStr">
        <is>
          <t>코스닥</t>
        </is>
      </c>
      <c r="E94" s="11" t="n">
        <v>3.41</v>
      </c>
      <c r="F94" s="11" t="n">
        <v>5.26</v>
      </c>
      <c r="G94" s="8">
        <f>IF(F94=0,0,E94/F94)</f>
        <v/>
      </c>
      <c r="H94" s="11" t="n">
        <v>0.01</v>
      </c>
      <c r="I94" s="8" t="n">
        <v>0.1346</v>
      </c>
      <c r="J94" s="8" t="n">
        <v>0.2258</v>
      </c>
    </row>
    <row r="95">
      <c r="A95" t="inlineStr">
        <is>
          <t>2026-01-28</t>
        </is>
      </c>
      <c r="B95" t="inlineStr">
        <is>
          <t>019210</t>
        </is>
      </c>
      <c r="C95" t="inlineStr">
        <is>
          <t>와이지-원</t>
        </is>
      </c>
      <c r="D95" t="inlineStr">
        <is>
          <t>코스닥</t>
        </is>
      </c>
      <c r="E95" s="11" t="n">
        <v>3.87</v>
      </c>
      <c r="F95" s="11" t="n">
        <v>19.86</v>
      </c>
      <c r="G95" s="8">
        <f>IF(F95=0,0,E95/F95)</f>
        <v/>
      </c>
      <c r="H95" s="11" t="n">
        <v>0.03</v>
      </c>
      <c r="I95" s="8" t="n">
        <v>0.0927</v>
      </c>
      <c r="J95" s="8" t="n">
        <v>0.1933</v>
      </c>
    </row>
    <row r="96">
      <c r="A96" t="inlineStr">
        <is>
          <t>2026-01-28</t>
        </is>
      </c>
      <c r="B96" t="inlineStr">
        <is>
          <t>023410</t>
        </is>
      </c>
      <c r="C96" t="inlineStr">
        <is>
          <t>유진기업</t>
        </is>
      </c>
      <c r="D96" t="inlineStr">
        <is>
          <t>코스닥</t>
        </is>
      </c>
      <c r="E96" s="11" t="n">
        <v>5.56</v>
      </c>
      <c r="F96" s="11" t="n">
        <v>7.47</v>
      </c>
      <c r="G96" s="8">
        <f>IF(F96=0,0,E96/F96)</f>
        <v/>
      </c>
      <c r="H96" s="11" t="n">
        <v>0</v>
      </c>
      <c r="I96" s="8" t="n">
        <v>0.0876</v>
      </c>
      <c r="J96" s="8" t="n">
        <v>0.2008</v>
      </c>
    </row>
    <row r="97">
      <c r="A97" t="inlineStr">
        <is>
          <t>2026-01-28</t>
        </is>
      </c>
      <c r="B97" t="inlineStr">
        <is>
          <t>038390</t>
        </is>
      </c>
      <c r="C97" t="inlineStr">
        <is>
          <t>레드캡투어</t>
        </is>
      </c>
      <c r="D97" t="inlineStr">
        <is>
          <t>코스닥</t>
        </is>
      </c>
      <c r="E97" s="11" t="n">
        <v>13.71</v>
      </c>
      <c r="F97" s="11" t="n">
        <v>5.5</v>
      </c>
      <c r="G97" s="8">
        <f>IF(F97=0,0,E97/F97)</f>
        <v/>
      </c>
      <c r="H97" s="11" t="n">
        <v>0.03</v>
      </c>
      <c r="I97" s="8" t="n">
        <v>0.0324</v>
      </c>
      <c r="J97" s="8" t="n">
        <v>-0.0232</v>
      </c>
    </row>
    <row r="98">
      <c r="A98" t="inlineStr">
        <is>
          <t>2026-01-27</t>
        </is>
      </c>
      <c r="B98" t="inlineStr">
        <is>
          <t>086390</t>
        </is>
      </c>
      <c r="C98" t="inlineStr">
        <is>
          <t>유니테스트</t>
        </is>
      </c>
      <c r="D98" t="inlineStr">
        <is>
          <t>코스닥</t>
        </is>
      </c>
      <c r="E98" s="11" t="n">
        <v>3.54</v>
      </c>
      <c r="F98" s="11" t="n">
        <v>17.14</v>
      </c>
      <c r="G98" s="8">
        <f>IF(F98=0,0,E98/F98)</f>
        <v/>
      </c>
      <c r="H98" s="11" t="n">
        <v>0.15</v>
      </c>
      <c r="I98" s="8" t="n">
        <v>-0.0069</v>
      </c>
      <c r="J98" s="8" t="n">
        <v>0.3434</v>
      </c>
    </row>
    <row r="99">
      <c r="A99" t="inlineStr">
        <is>
          <t>2026-01-26</t>
        </is>
      </c>
      <c r="B99" t="inlineStr">
        <is>
          <t>319400</t>
        </is>
      </c>
      <c r="C99" t="inlineStr">
        <is>
          <t>현대무벡스</t>
        </is>
      </c>
      <c r="D99" t="inlineStr">
        <is>
          <t>코스닥</t>
        </is>
      </c>
      <c r="E99" s="11" t="n">
        <v>8.130000000000001</v>
      </c>
      <c r="F99" s="11" t="n">
        <v>3082.84</v>
      </c>
      <c r="G99" s="8">
        <f>IF(F99=0,0,E99/F99)</f>
        <v/>
      </c>
      <c r="H99" s="11" t="n">
        <v>0</v>
      </c>
      <c r="I99" s="8" t="n">
        <v>0.06</v>
      </c>
      <c r="J99" s="8" t="n">
        <v>0.0381</v>
      </c>
    </row>
    <row r="100">
      <c r="A100" t="inlineStr">
        <is>
          <t>2026-01-26</t>
        </is>
      </c>
      <c r="B100" t="inlineStr">
        <is>
          <t>354320</t>
        </is>
      </c>
      <c r="C100" t="inlineStr">
        <is>
          <t>알멕</t>
        </is>
      </c>
      <c r="D100" t="inlineStr">
        <is>
          <t>코스닥</t>
        </is>
      </c>
      <c r="E100" s="11" t="n">
        <v>6.04</v>
      </c>
      <c r="F100" s="11" t="n">
        <v>149.72</v>
      </c>
      <c r="G100" s="8">
        <f>IF(F100=0,0,E100/F100)</f>
        <v/>
      </c>
      <c r="H100" s="11" t="n">
        <v>0</v>
      </c>
      <c r="I100" s="8" t="n">
        <v>0.2787</v>
      </c>
      <c r="J100" s="8" t="n">
        <v>-0.0038</v>
      </c>
    </row>
    <row r="101">
      <c r="A101" t="inlineStr">
        <is>
          <t>2026-01-22</t>
        </is>
      </c>
      <c r="B101" t="inlineStr">
        <is>
          <t>123330</t>
        </is>
      </c>
      <c r="C101" t="inlineStr">
        <is>
          <t>제닉</t>
        </is>
      </c>
      <c r="D101" t="inlineStr">
        <is>
          <t>코스닥</t>
        </is>
      </c>
      <c r="E101" s="11" t="n">
        <v>6.34</v>
      </c>
      <c r="F101" s="11" t="n">
        <v>9.44</v>
      </c>
      <c r="G101" s="8">
        <f>IF(F101=0,0,E101/F101)</f>
        <v/>
      </c>
      <c r="H101" s="11" t="n">
        <v>0</v>
      </c>
      <c r="I101" s="8" t="n">
        <v>-0.1401</v>
      </c>
      <c r="J101" s="8" t="n">
        <v>0.0296</v>
      </c>
    </row>
    <row r="102">
      <c r="A102" t="inlineStr">
        <is>
          <t>2026-01-21</t>
        </is>
      </c>
      <c r="B102" t="inlineStr">
        <is>
          <t>388050</t>
        </is>
      </c>
      <c r="C102" t="inlineStr">
        <is>
          <t>지투파워</t>
        </is>
      </c>
      <c r="D102" t="inlineStr">
        <is>
          <t>코스닥</t>
        </is>
      </c>
      <c r="E102" s="11" t="n">
        <v>7.91</v>
      </c>
      <c r="F102" s="11" t="n">
        <v>49.86</v>
      </c>
      <c r="G102" s="8">
        <f>IF(F102=0,0,E102/F102)</f>
        <v/>
      </c>
      <c r="H102" s="11" t="n">
        <v>0</v>
      </c>
      <c r="I102" s="8" t="n">
        <v>-0.0851</v>
      </c>
      <c r="J102" s="8" t="n">
        <v>0.1904</v>
      </c>
    </row>
    <row r="103">
      <c r="A103" t="inlineStr">
        <is>
          <t>2026-01-21</t>
        </is>
      </c>
      <c r="B103" t="inlineStr">
        <is>
          <t>073490</t>
        </is>
      </c>
      <c r="C103" t="inlineStr">
        <is>
          <t>LIG아큐버</t>
        </is>
      </c>
      <c r="D103" t="inlineStr">
        <is>
          <t>코스닥</t>
        </is>
      </c>
      <c r="E103" s="11" t="n">
        <v>3.95</v>
      </c>
      <c r="F103" s="11" t="n">
        <v>20.03</v>
      </c>
      <c r="G103" s="8">
        <f>IF(F103=0,0,E103/F103)</f>
        <v/>
      </c>
      <c r="H103" s="11" t="n">
        <v>0</v>
      </c>
      <c r="I103" s="8" t="n">
        <v>-0.0077</v>
      </c>
      <c r="J103" s="8" t="n">
        <v>0.131</v>
      </c>
    </row>
    <row r="104">
      <c r="A104" t="inlineStr">
        <is>
          <t>2026-01-20</t>
        </is>
      </c>
      <c r="B104" t="inlineStr">
        <is>
          <t>007820</t>
        </is>
      </c>
      <c r="C104" t="inlineStr">
        <is>
          <t>엠엑스로보틱스</t>
        </is>
      </c>
      <c r="D104" t="inlineStr">
        <is>
          <t>코스닥</t>
        </is>
      </c>
      <c r="E104" s="11" t="n">
        <v>3.53</v>
      </c>
      <c r="F104" s="11" t="n">
        <v>30.57</v>
      </c>
      <c r="G104" s="8">
        <f>IF(F104=0,0,E104/F104)</f>
        <v/>
      </c>
      <c r="H104" s="11" t="n">
        <v>0</v>
      </c>
      <c r="I104" s="8" t="n">
        <v>0.0074</v>
      </c>
      <c r="J104" s="8" t="n">
        <v>-0.0442</v>
      </c>
    </row>
    <row r="105">
      <c r="A105" t="inlineStr">
        <is>
          <t>2026-01-14</t>
        </is>
      </c>
      <c r="B105" t="inlineStr">
        <is>
          <t>000725</t>
        </is>
      </c>
      <c r="C105" t="inlineStr">
        <is>
          <t>현대건설우</t>
        </is>
      </c>
      <c r="D105" t="inlineStr">
        <is>
          <t>코스피</t>
        </is>
      </c>
      <c r="E105" s="11" t="n">
        <v>3.74</v>
      </c>
      <c r="F105" s="11" t="n">
        <v>6.08</v>
      </c>
      <c r="G105" s="8">
        <f>IF(F105=0,0,E105/F105)</f>
        <v/>
      </c>
      <c r="H105" s="11" t="n">
        <v>0.3</v>
      </c>
      <c r="I105" s="8" t="n">
        <v>0.08500000000000001</v>
      </c>
      <c r="J105" s="8" t="n">
        <v>0.0613</v>
      </c>
    </row>
    <row r="106">
      <c r="A106" t="inlineStr">
        <is>
          <t>2026-01-12</t>
        </is>
      </c>
      <c r="B106" t="inlineStr">
        <is>
          <t>085670</t>
        </is>
      </c>
      <c r="C106" t="inlineStr">
        <is>
          <t>뉴프렉스</t>
        </is>
      </c>
      <c r="D106" t="inlineStr">
        <is>
          <t>코스닥</t>
        </is>
      </c>
      <c r="E106" s="11" t="n">
        <v>4.38</v>
      </c>
      <c r="F106" s="11" t="n">
        <v>11.93</v>
      </c>
      <c r="G106" s="8">
        <f>IF(F106=0,0,E106/F106)</f>
        <v/>
      </c>
      <c r="H106" s="11" t="n">
        <v>0</v>
      </c>
      <c r="I106" s="8" t="n">
        <v>0.1494</v>
      </c>
      <c r="J106" s="8" t="n">
        <v>0.1675</v>
      </c>
    </row>
    <row r="107">
      <c r="A107" t="inlineStr">
        <is>
          <t>2026-01-08</t>
        </is>
      </c>
      <c r="B107" t="inlineStr">
        <is>
          <t>168360</t>
        </is>
      </c>
      <c r="C107" t="inlineStr">
        <is>
          <t>펨트론</t>
        </is>
      </c>
      <c r="D107" t="inlineStr">
        <is>
          <t>코스닥</t>
        </is>
      </c>
      <c r="E107" s="11" t="n">
        <v>7.47</v>
      </c>
      <c r="F107" s="11" t="n">
        <v>24.64</v>
      </c>
      <c r="G107" s="8">
        <f>IF(F107=0,0,E107/F107)</f>
        <v/>
      </c>
      <c r="H107" s="11" t="n">
        <v>0</v>
      </c>
      <c r="I107" s="8" t="n">
        <v>-0.07199999999999999</v>
      </c>
      <c r="J107" s="8" t="n">
        <v>-0.0524</v>
      </c>
    </row>
    <row r="108">
      <c r="A108" t="inlineStr">
        <is>
          <t>2026-01-06</t>
        </is>
      </c>
      <c r="B108" t="inlineStr">
        <is>
          <t>452430</t>
        </is>
      </c>
      <c r="C108" t="inlineStr">
        <is>
          <t>사피엔반도체</t>
        </is>
      </c>
      <c r="D108" t="inlineStr">
        <is>
          <t>코스닥</t>
        </is>
      </c>
      <c r="E108" s="11" t="n">
        <v>9.23</v>
      </c>
      <c r="F108" s="11" t="n">
        <v>31.76</v>
      </c>
      <c r="G108" s="8">
        <f>IF(F108=0,0,E108/F108)</f>
        <v/>
      </c>
      <c r="H108" s="11" t="n">
        <v>0</v>
      </c>
      <c r="I108" s="8" t="n">
        <v>-0.1188</v>
      </c>
      <c r="J108" s="8" t="n">
        <v>-0.1067</v>
      </c>
    </row>
    <row r="109">
      <c r="A109" t="inlineStr">
        <is>
          <t>2025-12-29</t>
        </is>
      </c>
      <c r="B109" t="inlineStr">
        <is>
          <t>096240</t>
        </is>
      </c>
      <c r="C109" t="inlineStr">
        <is>
          <t>크레버스</t>
        </is>
      </c>
      <c r="D109" t="inlineStr">
        <is>
          <t>코스닥</t>
        </is>
      </c>
      <c r="E109" s="11" t="n">
        <v>3.5</v>
      </c>
      <c r="F109" s="11" t="n">
        <v>2.75</v>
      </c>
      <c r="G109" s="8">
        <f>IF(F109=0,0,E109/F109)</f>
        <v/>
      </c>
      <c r="H109" s="11" t="n">
        <v>0</v>
      </c>
      <c r="I109" s="8" t="n">
        <v>-0.0378</v>
      </c>
      <c r="J109" s="8" t="n">
        <v>-0.113</v>
      </c>
    </row>
    <row r="110">
      <c r="A110" t="inlineStr">
        <is>
          <t>2025-12-26</t>
        </is>
      </c>
      <c r="B110" t="inlineStr">
        <is>
          <t>122640</t>
        </is>
      </c>
      <c r="C110" t="inlineStr">
        <is>
          <t>예스티</t>
        </is>
      </c>
      <c r="D110" t="inlineStr">
        <is>
          <t>코스닥</t>
        </is>
      </c>
      <c r="E110" s="11" t="n">
        <v>4.22</v>
      </c>
      <c r="F110" s="11" t="n">
        <v>23.58</v>
      </c>
      <c r="G110" s="8">
        <f>IF(F110=0,0,E110/F110)</f>
        <v/>
      </c>
      <c r="H110" s="11" t="n">
        <v>0.14</v>
      </c>
      <c r="I110" s="8" t="n">
        <v>0.08160000000000001</v>
      </c>
      <c r="J110" s="8" t="n">
        <v>0.0251</v>
      </c>
    </row>
    <row r="111">
      <c r="A111" t="inlineStr">
        <is>
          <t>2025-12-22</t>
        </is>
      </c>
      <c r="B111" t="inlineStr">
        <is>
          <t>274090</t>
        </is>
      </c>
      <c r="C111" t="inlineStr">
        <is>
          <t>켄코아에어로스페이스</t>
        </is>
      </c>
      <c r="D111" t="inlineStr">
        <is>
          <t>코스닥</t>
        </is>
      </c>
      <c r="E111" s="11" t="n">
        <v>5.29</v>
      </c>
      <c r="F111" s="11" t="n">
        <v>28.5</v>
      </c>
      <c r="G111" s="8">
        <f>IF(F111=0,0,E111/F111)</f>
        <v/>
      </c>
      <c r="H111" s="11" t="n">
        <v>0</v>
      </c>
      <c r="I111" s="8" t="n">
        <v>0.0779</v>
      </c>
      <c r="J111" s="8" t="n">
        <v>0.3845</v>
      </c>
    </row>
    <row r="112">
      <c r="A112" t="inlineStr">
        <is>
          <t>2025-12-12</t>
        </is>
      </c>
      <c r="B112" t="inlineStr">
        <is>
          <t>019440</t>
        </is>
      </c>
      <c r="C112" t="inlineStr">
        <is>
          <t>세아특수강</t>
        </is>
      </c>
      <c r="D112" t="inlineStr">
        <is>
          <t>코스피</t>
        </is>
      </c>
      <c r="E112" s="11" t="n">
        <v>3.96</v>
      </c>
      <c r="F112" s="11" t="n">
        <v>1.41</v>
      </c>
      <c r="G112" s="8">
        <f>IF(F112=0,0,E112/F112)</f>
        <v/>
      </c>
      <c r="H112" s="11" t="n">
        <v>0.11</v>
      </c>
      <c r="I112" s="8" t="n">
        <v>-0.0191</v>
      </c>
      <c r="J112" s="8" t="n">
        <v>0.1649</v>
      </c>
    </row>
    <row r="113">
      <c r="A113" t="inlineStr">
        <is>
          <t>2025-12-11</t>
        </is>
      </c>
      <c r="B113" t="inlineStr">
        <is>
          <t>032820</t>
        </is>
      </c>
      <c r="C113" t="inlineStr">
        <is>
          <t>우리기술</t>
        </is>
      </c>
      <c r="D113" t="inlineStr">
        <is>
          <t>코스닥</t>
        </is>
      </c>
      <c r="E113" s="11" t="n">
        <v>11.66</v>
      </c>
      <c r="F113" s="11" t="n">
        <v>145.94</v>
      </c>
      <c r="G113" s="8">
        <f>IF(F113=0,0,E113/F113)</f>
        <v/>
      </c>
      <c r="H113" s="11" t="n">
        <v>0</v>
      </c>
      <c r="I113" s="8" t="n">
        <v>-0.049</v>
      </c>
      <c r="J113" s="8" t="n">
        <v>0.029</v>
      </c>
    </row>
    <row r="114">
      <c r="A114" t="inlineStr">
        <is>
          <t>2025-12-10</t>
        </is>
      </c>
      <c r="B114" t="inlineStr">
        <is>
          <t>043260</t>
        </is>
      </c>
      <c r="C114" t="inlineStr">
        <is>
          <t>성호전자</t>
        </is>
      </c>
      <c r="D114" t="inlineStr">
        <is>
          <t>코스닥</t>
        </is>
      </c>
      <c r="E114" s="11" t="n">
        <v>21.37</v>
      </c>
      <c r="F114" s="11" t="n">
        <v>57.37</v>
      </c>
      <c r="G114" s="8">
        <f>IF(F114=0,0,E114/F114)</f>
        <v/>
      </c>
      <c r="H114" s="11" t="n">
        <v>0</v>
      </c>
      <c r="I114" s="8" t="n">
        <v>0.0779</v>
      </c>
      <c r="J114" s="8" t="n">
        <v>1.2544</v>
      </c>
    </row>
    <row r="115">
      <c r="A115" t="inlineStr">
        <is>
          <t>2025-12-10</t>
        </is>
      </c>
      <c r="B115" t="inlineStr">
        <is>
          <t>138610</t>
        </is>
      </c>
      <c r="C115" t="inlineStr">
        <is>
          <t>나이벡</t>
        </is>
      </c>
      <c r="D115" t="inlineStr">
        <is>
          <t>코스닥</t>
        </is>
      </c>
      <c r="E115" s="11" t="n">
        <v>14.43</v>
      </c>
      <c r="F115" s="11" t="n">
        <v>82.75</v>
      </c>
      <c r="G115" s="8">
        <f>IF(F115=0,0,E115/F115)</f>
        <v/>
      </c>
      <c r="H115" s="11" t="n">
        <v>0</v>
      </c>
      <c r="I115" s="8" t="n">
        <v>-0.0847</v>
      </c>
      <c r="J115" s="8" t="n">
        <v>-0.241</v>
      </c>
    </row>
    <row r="116">
      <c r="A116" t="inlineStr">
        <is>
          <t>2025-12-08</t>
        </is>
      </c>
      <c r="B116" t="inlineStr">
        <is>
          <t>448280</t>
        </is>
      </c>
      <c r="C116" t="inlineStr">
        <is>
          <t>에코아이</t>
        </is>
      </c>
      <c r="D116" t="inlineStr">
        <is>
          <t>코스닥</t>
        </is>
      </c>
      <c r="E116" s="11" t="n">
        <v>3.88</v>
      </c>
      <c r="F116" s="11" t="n">
        <v>12.97</v>
      </c>
      <c r="G116" s="8">
        <f>IF(F116=0,0,E116/F116)</f>
        <v/>
      </c>
      <c r="H116" s="11" t="n">
        <v>0</v>
      </c>
      <c r="I116" s="8" t="n">
        <v>-0.1132</v>
      </c>
      <c r="J116" s="8" t="n">
        <v>-0.182</v>
      </c>
    </row>
    <row r="117">
      <c r="A117" t="inlineStr">
        <is>
          <t>2025-12-05</t>
        </is>
      </c>
      <c r="B117" t="inlineStr">
        <is>
          <t>005960</t>
        </is>
      </c>
      <c r="C117" t="inlineStr">
        <is>
          <t>동부건설</t>
        </is>
      </c>
      <c r="D117" t="inlineStr">
        <is>
          <t>코스피</t>
        </is>
      </c>
      <c r="E117" s="11" t="n">
        <v>4.18</v>
      </c>
      <c r="F117" s="11" t="n">
        <v>3.76</v>
      </c>
      <c r="G117" s="8">
        <f>IF(F117=0,0,E117/F117)</f>
        <v/>
      </c>
      <c r="H117" s="11" t="n">
        <v>0.1</v>
      </c>
      <c r="I117" s="8" t="n">
        <v>-0.0234</v>
      </c>
      <c r="J117" s="8" t="n">
        <v>-0.06560000000000001</v>
      </c>
    </row>
    <row r="118">
      <c r="A118" t="inlineStr">
        <is>
          <t>2025-12-05</t>
        </is>
      </c>
      <c r="B118" t="inlineStr">
        <is>
          <t>014790</t>
        </is>
      </c>
      <c r="C118" t="inlineStr">
        <is>
          <t>HL D&amp;I</t>
        </is>
      </c>
      <c r="D118" t="inlineStr">
        <is>
          <t>코스피</t>
        </is>
      </c>
      <c r="E118" s="11" t="n">
        <v>3.1</v>
      </c>
      <c r="F118" s="11" t="n">
        <v>2.48</v>
      </c>
      <c r="G118" s="8">
        <f>IF(F118=0,0,E118/F118)</f>
        <v/>
      </c>
      <c r="H118" s="11" t="n">
        <v>0.17</v>
      </c>
      <c r="I118" s="8" t="n">
        <v>-0.0536</v>
      </c>
      <c r="J118" s="8" t="n">
        <v>-0.1067</v>
      </c>
    </row>
    <row r="119">
      <c r="A119" t="inlineStr">
        <is>
          <t>2025-12-05</t>
        </is>
      </c>
      <c r="B119" t="inlineStr">
        <is>
          <t>005389</t>
        </is>
      </c>
      <c r="C119" t="inlineStr">
        <is>
          <t>현대차3우B</t>
        </is>
      </c>
      <c r="D119" t="inlineStr">
        <is>
          <t>코스피</t>
        </is>
      </c>
      <c r="E119" s="11" t="n">
        <v>15.5</v>
      </c>
      <c r="F119" s="11" t="n">
        <v>26.44</v>
      </c>
      <c r="G119" s="8">
        <f>IF(F119=0,0,E119/F119)</f>
        <v/>
      </c>
      <c r="H119" s="11" t="n">
        <v>0</v>
      </c>
      <c r="I119" s="8" t="n">
        <v>-0.0402</v>
      </c>
      <c r="J119" s="8" t="n">
        <v>0.1175</v>
      </c>
    </row>
    <row r="120">
      <c r="A120" t="inlineStr">
        <is>
          <t>2025-12-05</t>
        </is>
      </c>
      <c r="B120" t="inlineStr">
        <is>
          <t>081180</t>
        </is>
      </c>
      <c r="C120" t="inlineStr">
        <is>
          <t>쎄크</t>
        </is>
      </c>
      <c r="D120" t="inlineStr">
        <is>
          <t>코스닥</t>
        </is>
      </c>
      <c r="E120" s="11" t="n">
        <v>6.59</v>
      </c>
      <c r="F120" s="11" t="n">
        <v>225.38</v>
      </c>
      <c r="G120" s="8">
        <f>IF(F120=0,0,E120/F120)</f>
        <v/>
      </c>
      <c r="H120" s="11" t="n">
        <v>0</v>
      </c>
      <c r="I120" s="8" t="n">
        <v>-0.0448</v>
      </c>
      <c r="J120" s="8" t="n">
        <v>0.3739</v>
      </c>
    </row>
    <row r="121">
      <c r="A121" t="inlineStr">
        <is>
          <t>2025-12-04</t>
        </is>
      </c>
      <c r="B121" t="inlineStr">
        <is>
          <t>482630</t>
        </is>
      </c>
      <c r="C121" t="inlineStr">
        <is>
          <t>삼양엔씨켐</t>
        </is>
      </c>
      <c r="D121" t="inlineStr">
        <is>
          <t>코스닥</t>
        </is>
      </c>
      <c r="E121" s="11" t="n">
        <v>3.15</v>
      </c>
      <c r="F121" s="11" t="n">
        <v>29.8</v>
      </c>
      <c r="G121" s="8">
        <f>IF(F121=0,0,E121/F121)</f>
        <v/>
      </c>
      <c r="H121" s="11" t="n">
        <v>0</v>
      </c>
      <c r="I121" s="8" t="n">
        <v>0.0016</v>
      </c>
      <c r="J121" s="8" t="n">
        <v>0.1856</v>
      </c>
    </row>
    <row r="122">
      <c r="A122" t="inlineStr">
        <is>
          <t>2025-12-03</t>
        </is>
      </c>
      <c r="B122" t="inlineStr">
        <is>
          <t>056080</t>
        </is>
      </c>
      <c r="C122" t="inlineStr">
        <is>
          <t>유진로봇</t>
        </is>
      </c>
      <c r="D122" t="inlineStr">
        <is>
          <t>코스닥</t>
        </is>
      </c>
      <c r="E122" s="11" t="n">
        <v>4.21</v>
      </c>
      <c r="F122" s="11" t="n">
        <v>71.56999999999999</v>
      </c>
      <c r="G122" s="8">
        <f>IF(F122=0,0,E122/F122)</f>
        <v/>
      </c>
      <c r="H122" s="11" t="n">
        <v>0</v>
      </c>
      <c r="I122" s="8" t="n">
        <v>0.08550000000000001</v>
      </c>
      <c r="J122" s="8" t="n">
        <v>0.1476</v>
      </c>
    </row>
    <row r="123">
      <c r="A123" t="inlineStr">
        <is>
          <t>2025-12-01</t>
        </is>
      </c>
      <c r="B123" t="inlineStr">
        <is>
          <t>124500</t>
        </is>
      </c>
      <c r="C123" t="inlineStr">
        <is>
          <t>아이티센글로벌</t>
        </is>
      </c>
      <c r="D123" t="inlineStr">
        <is>
          <t>코스닥</t>
        </is>
      </c>
      <c r="E123" s="11" t="n">
        <v>6.53</v>
      </c>
      <c r="F123" s="11" t="n">
        <v>126.11</v>
      </c>
      <c r="G123" s="8">
        <f>IF(F123=0,0,E123/F123)</f>
        <v/>
      </c>
      <c r="H123" s="11" t="n">
        <v>0</v>
      </c>
      <c r="I123" s="8" t="n">
        <v>-0.06569999999999999</v>
      </c>
      <c r="J123" s="8" t="n">
        <v>0.4414</v>
      </c>
    </row>
    <row r="124">
      <c r="A124" t="inlineStr">
        <is>
          <t>2025-11-28</t>
        </is>
      </c>
      <c r="B124" t="inlineStr">
        <is>
          <t>318060</t>
        </is>
      </c>
      <c r="C124" t="inlineStr">
        <is>
          <t>그래피</t>
        </is>
      </c>
      <c r="D124" t="inlineStr">
        <is>
          <t>코스닥</t>
        </is>
      </c>
      <c r="E124" s="11" t="n">
        <v>5.91</v>
      </c>
      <c r="F124" s="11" t="n">
        <v>292.18</v>
      </c>
      <c r="G124" s="8">
        <f>IF(F124=0,0,E124/F124)</f>
        <v/>
      </c>
      <c r="H124" s="11" t="n">
        <v>0</v>
      </c>
      <c r="I124" s="8" t="n">
        <v>0.0959</v>
      </c>
      <c r="J124" s="8" t="n">
        <v>0.2239</v>
      </c>
    </row>
    <row r="125">
      <c r="A125" t="inlineStr">
        <is>
          <t>2025-11-28</t>
        </is>
      </c>
      <c r="B125" t="inlineStr">
        <is>
          <t>376900</t>
        </is>
      </c>
      <c r="C125" t="inlineStr">
        <is>
          <t>로킷헬스케어</t>
        </is>
      </c>
      <c r="D125" t="inlineStr">
        <is>
          <t>코스닥</t>
        </is>
      </c>
      <c r="E125" s="11" t="n">
        <v>22.38</v>
      </c>
      <c r="F125" s="11" t="n">
        <v>1127.08</v>
      </c>
      <c r="G125" s="8">
        <f>IF(F125=0,0,E125/F125)</f>
        <v/>
      </c>
      <c r="H125" s="11" t="n">
        <v>0</v>
      </c>
      <c r="I125" s="8" t="n">
        <v>-0.06759999999999999</v>
      </c>
      <c r="J125" s="8" t="n">
        <v>-0.1294</v>
      </c>
    </row>
    <row r="126">
      <c r="A126" t="inlineStr">
        <is>
          <t>2025-11-27</t>
        </is>
      </c>
      <c r="B126" t="inlineStr">
        <is>
          <t>001530</t>
        </is>
      </c>
      <c r="C126" t="inlineStr">
        <is>
          <t>DI동일</t>
        </is>
      </c>
      <c r="D126" t="inlineStr">
        <is>
          <t>코스피</t>
        </is>
      </c>
      <c r="E126" s="11" t="n">
        <v>3.71</v>
      </c>
      <c r="F126" s="11" t="n">
        <v>21.11</v>
      </c>
      <c r="G126" s="8">
        <f>IF(F126=0,0,E126/F126)</f>
        <v/>
      </c>
      <c r="H126" s="11" t="n">
        <v>0.22</v>
      </c>
      <c r="I126" s="8" t="n">
        <v>0.0809</v>
      </c>
      <c r="J126" s="8" t="n">
        <v>0.1132</v>
      </c>
    </row>
    <row r="127">
      <c r="A127" t="inlineStr">
        <is>
          <t>2025-11-27</t>
        </is>
      </c>
      <c r="B127" t="inlineStr">
        <is>
          <t>102280</t>
        </is>
      </c>
      <c r="C127" t="inlineStr">
        <is>
          <t>쌍방울</t>
        </is>
      </c>
      <c r="D127" t="inlineStr">
        <is>
          <t>코스피</t>
        </is>
      </c>
      <c r="E127" s="11" t="n">
        <v>14.35</v>
      </c>
      <c r="F127" s="11" t="n">
        <v>14.42</v>
      </c>
      <c r="G127" s="8">
        <f>IF(F127=0,0,E127/F127)</f>
        <v/>
      </c>
      <c r="H127" s="11" t="n">
        <v>0.13</v>
      </c>
      <c r="I127" s="8" t="n"/>
      <c r="J127" s="8" t="n"/>
    </row>
    <row r="128">
      <c r="A128" t="inlineStr">
        <is>
          <t>2025-11-27</t>
        </is>
      </c>
      <c r="B128" t="inlineStr">
        <is>
          <t>309710</t>
        </is>
      </c>
      <c r="C128" t="inlineStr">
        <is>
          <t>아이티켐</t>
        </is>
      </c>
      <c r="D128" t="inlineStr">
        <is>
          <t>코스닥</t>
        </is>
      </c>
      <c r="E128" s="11" t="n">
        <v>3.73</v>
      </c>
      <c r="F128" s="11" t="n">
        <v>55.47</v>
      </c>
      <c r="G128" s="8">
        <f>IF(F128=0,0,E128/F128)</f>
        <v/>
      </c>
      <c r="H128" s="11" t="n">
        <v>0</v>
      </c>
      <c r="I128" s="8" t="n">
        <v>0.2546</v>
      </c>
      <c r="J128" s="8" t="n">
        <v>-0.0646</v>
      </c>
    </row>
    <row r="129">
      <c r="A129" t="inlineStr">
        <is>
          <t>2025-11-20</t>
        </is>
      </c>
      <c r="B129" t="inlineStr">
        <is>
          <t>466100</t>
        </is>
      </c>
      <c r="C129" t="inlineStr">
        <is>
          <t>클로봇</t>
        </is>
      </c>
      <c r="D129" t="inlineStr">
        <is>
          <t>코스닥</t>
        </is>
      </c>
      <c r="E129" s="11" t="n">
        <v>6.91</v>
      </c>
      <c r="F129" s="11" t="n">
        <v>1133.52</v>
      </c>
      <c r="G129" s="8">
        <f>IF(F129=0,0,E129/F129)</f>
        <v/>
      </c>
      <c r="H129" s="11" t="n">
        <v>0</v>
      </c>
      <c r="I129" s="8" t="n">
        <v>0.0608</v>
      </c>
      <c r="J129" s="8" t="n">
        <v>0.7698</v>
      </c>
    </row>
    <row r="130">
      <c r="A130" t="inlineStr">
        <is>
          <t>2025-11-20</t>
        </is>
      </c>
      <c r="B130" t="inlineStr">
        <is>
          <t>211050</t>
        </is>
      </c>
      <c r="C130" t="inlineStr">
        <is>
          <t>인카금융서비스</t>
        </is>
      </c>
      <c r="D130" t="inlineStr">
        <is>
          <t>코스닥</t>
        </is>
      </c>
      <c r="E130" s="11" t="n">
        <v>7.08</v>
      </c>
      <c r="F130" s="11" t="n">
        <v>15.48</v>
      </c>
      <c r="G130" s="8">
        <f>IF(F130=0,0,E130/F130)</f>
        <v/>
      </c>
      <c r="H130" s="11" t="n">
        <v>0</v>
      </c>
      <c r="I130" s="8" t="n">
        <v>0.1147</v>
      </c>
      <c r="J130" s="8" t="n">
        <v>-0.0078</v>
      </c>
    </row>
    <row r="131">
      <c r="A131" t="inlineStr">
        <is>
          <t>2025-11-19</t>
        </is>
      </c>
      <c r="B131" t="inlineStr">
        <is>
          <t>474650</t>
        </is>
      </c>
      <c r="C131" t="inlineStr">
        <is>
          <t>링크솔루션</t>
        </is>
      </c>
      <c r="D131" t="inlineStr">
        <is>
          <t>코스닥</t>
        </is>
      </c>
      <c r="E131" s="11" t="n">
        <v>9.039999999999999</v>
      </c>
      <c r="F131" s="11" t="n">
        <v>115.17</v>
      </c>
      <c r="G131" s="8">
        <f>IF(F131=0,0,E131/F131)</f>
        <v/>
      </c>
      <c r="H131" s="11" t="n">
        <v>0</v>
      </c>
      <c r="I131" s="8" t="n">
        <v>-0.0504</v>
      </c>
      <c r="J131" s="8" t="n">
        <v>0.5663</v>
      </c>
    </row>
    <row r="132">
      <c r="A132" t="inlineStr">
        <is>
          <t>2025-11-17</t>
        </is>
      </c>
      <c r="B132" t="inlineStr">
        <is>
          <t>424870</t>
        </is>
      </c>
      <c r="C132" t="inlineStr">
        <is>
          <t>이뮨온시아</t>
        </is>
      </c>
      <c r="D132" t="inlineStr">
        <is>
          <t>코스닥</t>
        </is>
      </c>
      <c r="E132" s="11" t="n">
        <v>8.82</v>
      </c>
      <c r="F132" s="11" t="n">
        <v>239.05</v>
      </c>
      <c r="G132" s="8">
        <f>IF(F132=0,0,E132/F132)</f>
        <v/>
      </c>
      <c r="H132" s="11" t="n">
        <v>0</v>
      </c>
      <c r="I132" s="8" t="n">
        <v>0.105</v>
      </c>
      <c r="J132" s="8" t="n">
        <v>1.2066</v>
      </c>
    </row>
    <row r="133">
      <c r="A133" t="inlineStr">
        <is>
          <t>2025-11-14</t>
        </is>
      </c>
      <c r="B133" t="inlineStr">
        <is>
          <t>039830</t>
        </is>
      </c>
      <c r="C133" t="inlineStr">
        <is>
          <t>오로라</t>
        </is>
      </c>
      <c r="D133" t="inlineStr">
        <is>
          <t>코스닥</t>
        </is>
      </c>
      <c r="E133" s="11" t="n">
        <v>7.32</v>
      </c>
      <c r="F133" s="11" t="n">
        <v>39.39</v>
      </c>
      <c r="G133" s="8">
        <f>IF(F133=0,0,E133/F133)</f>
        <v/>
      </c>
      <c r="H133" s="11" t="n">
        <v>0</v>
      </c>
      <c r="I133" s="8" t="n">
        <v>-0.1149</v>
      </c>
      <c r="J133" s="8" t="n">
        <v>-0.2025</v>
      </c>
    </row>
    <row r="134">
      <c r="A134" t="inlineStr">
        <is>
          <t>2025-11-07</t>
        </is>
      </c>
      <c r="B134" t="inlineStr">
        <is>
          <t>380550</t>
        </is>
      </c>
      <c r="C134" t="inlineStr">
        <is>
          <t>뉴로핏</t>
        </is>
      </c>
      <c r="D134" t="inlineStr">
        <is>
          <t>코스닥</t>
        </is>
      </c>
      <c r="E134" s="11" t="n">
        <v>5.67</v>
      </c>
      <c r="F134" s="11" t="n">
        <v>913.97</v>
      </c>
      <c r="G134" s="8">
        <f>IF(F134=0,0,E134/F134)</f>
        <v/>
      </c>
      <c r="H134" s="11" t="n">
        <v>0</v>
      </c>
      <c r="I134" s="8" t="n">
        <v>-0.1039</v>
      </c>
      <c r="J134" s="8" t="n">
        <v>0.2369</v>
      </c>
    </row>
    <row r="135">
      <c r="A135" t="inlineStr">
        <is>
          <t>2025-11-06</t>
        </is>
      </c>
      <c r="B135" t="inlineStr">
        <is>
          <t>055490</t>
        </is>
      </c>
      <c r="C135" t="inlineStr">
        <is>
          <t>테이팩스</t>
        </is>
      </c>
      <c r="D135" t="inlineStr">
        <is>
          <t>코스피</t>
        </is>
      </c>
      <c r="E135" s="11" t="n">
        <v>3.08</v>
      </c>
      <c r="F135" s="11" t="n">
        <v>5.21</v>
      </c>
      <c r="G135" s="8">
        <f>IF(F135=0,0,E135/F135)</f>
        <v/>
      </c>
      <c r="H135" s="11" t="n">
        <v>0.05</v>
      </c>
      <c r="I135" s="8" t="n">
        <v>-0.1116</v>
      </c>
      <c r="J135" s="8" t="n">
        <v>-0.1285</v>
      </c>
    </row>
    <row r="136">
      <c r="A136" t="inlineStr">
        <is>
          <t>2025-11-04</t>
        </is>
      </c>
      <c r="B136" t="inlineStr">
        <is>
          <t>389470</t>
        </is>
      </c>
      <c r="C136" t="inlineStr">
        <is>
          <t>인벤티지랩</t>
        </is>
      </c>
      <c r="D136" t="inlineStr">
        <is>
          <t>코스닥</t>
        </is>
      </c>
      <c r="E136" s="11" t="n">
        <v>7.93</v>
      </c>
      <c r="F136" s="11" t="n">
        <v>182.86</v>
      </c>
      <c r="G136" s="8">
        <f>IF(F136=0,0,E136/F136)</f>
        <v/>
      </c>
      <c r="H136" s="11" t="n">
        <v>0</v>
      </c>
      <c r="I136" s="8" t="n">
        <v>0.0303</v>
      </c>
      <c r="J136" s="8" t="n">
        <v>0.279</v>
      </c>
    </row>
    <row r="137">
      <c r="A137" t="inlineStr">
        <is>
          <t>2025-11-04</t>
        </is>
      </c>
      <c r="B137" t="inlineStr">
        <is>
          <t>389650</t>
        </is>
      </c>
      <c r="C137" t="inlineStr">
        <is>
          <t>넥스트바이오메디컬</t>
        </is>
      </c>
      <c r="D137" t="inlineStr">
        <is>
          <t>코스닥</t>
        </is>
      </c>
      <c r="E137" s="11" t="n">
        <v>3.4</v>
      </c>
      <c r="F137" s="11" t="n">
        <v>47.54</v>
      </c>
      <c r="G137" s="8">
        <f>IF(F137=0,0,E137/F137)</f>
        <v/>
      </c>
      <c r="H137" s="11" t="n">
        <v>0.05</v>
      </c>
      <c r="I137" s="8" t="n">
        <v>-0.0391</v>
      </c>
      <c r="J137" s="8" t="n">
        <v>0.507</v>
      </c>
    </row>
    <row r="138">
      <c r="A138" t="inlineStr">
        <is>
          <t>2025-11-03</t>
        </is>
      </c>
      <c r="B138" t="inlineStr">
        <is>
          <t>304100</t>
        </is>
      </c>
      <c r="C138" t="inlineStr">
        <is>
          <t>솔트룩스</t>
        </is>
      </c>
      <c r="D138" t="inlineStr">
        <is>
          <t>코스닥</t>
        </is>
      </c>
      <c r="E138" s="11" t="n">
        <v>10.41</v>
      </c>
      <c r="F138" s="11" t="n">
        <v>96.5</v>
      </c>
      <c r="G138" s="8">
        <f>IF(F138=0,0,E138/F138)</f>
        <v/>
      </c>
      <c r="H138" s="11" t="n">
        <v>0.08</v>
      </c>
      <c r="I138" s="8" t="n">
        <v>-0.06419999999999999</v>
      </c>
      <c r="J138" s="8" t="n">
        <v>-0.0581</v>
      </c>
    </row>
    <row r="139">
      <c r="A139" t="inlineStr">
        <is>
          <t>2025-10-30</t>
        </is>
      </c>
      <c r="B139" t="inlineStr">
        <is>
          <t>389020</t>
        </is>
      </c>
      <c r="C139" t="inlineStr">
        <is>
          <t>자람테크놀로지</t>
        </is>
      </c>
      <c r="D139" t="inlineStr">
        <is>
          <t>코스닥</t>
        </is>
      </c>
      <c r="E139" s="11" t="n">
        <v>6.01</v>
      </c>
      <c r="F139" s="11" t="n">
        <v>41.13</v>
      </c>
      <c r="G139" s="8">
        <f>IF(F139=0,0,E139/F139)</f>
        <v/>
      </c>
      <c r="H139" s="11" t="n">
        <v>0</v>
      </c>
      <c r="I139" s="8" t="n">
        <v>-0.1095</v>
      </c>
      <c r="J139" s="8" t="n">
        <v>-0.2083</v>
      </c>
    </row>
    <row r="140">
      <c r="A140" t="inlineStr">
        <is>
          <t>2025-10-28</t>
        </is>
      </c>
      <c r="B140" t="inlineStr">
        <is>
          <t>054210</t>
        </is>
      </c>
      <c r="C140" t="inlineStr">
        <is>
          <t>이랜텍</t>
        </is>
      </c>
      <c r="D140" t="inlineStr">
        <is>
          <t>코스닥</t>
        </is>
      </c>
      <c r="E140" s="11" t="n">
        <v>7.26</v>
      </c>
      <c r="F140" s="11" t="n">
        <v>19.41</v>
      </c>
      <c r="G140" s="8">
        <f>IF(F140=0,0,E140/F140)</f>
        <v/>
      </c>
      <c r="H140" s="11" t="n">
        <v>0</v>
      </c>
      <c r="I140" s="8" t="n">
        <v>-0.0191</v>
      </c>
      <c r="J140" s="8" t="n">
        <v>0.0491</v>
      </c>
    </row>
    <row r="141">
      <c r="A141" t="inlineStr">
        <is>
          <t>2025-10-28</t>
        </is>
      </c>
      <c r="B141" t="inlineStr">
        <is>
          <t>282720</t>
        </is>
      </c>
      <c r="C141" t="inlineStr">
        <is>
          <t>금양그린파워</t>
        </is>
      </c>
      <c r="D141" t="inlineStr">
        <is>
          <t>코스닥</t>
        </is>
      </c>
      <c r="E141" s="11" t="n">
        <v>5.89</v>
      </c>
      <c r="F141" s="11" t="n">
        <v>8.949999999999999</v>
      </c>
      <c r="G141" s="8">
        <f>IF(F141=0,0,E141/F141)</f>
        <v/>
      </c>
      <c r="H141" s="11" t="n">
        <v>0</v>
      </c>
      <c r="I141" s="8" t="n">
        <v>0.1164</v>
      </c>
      <c r="J141" s="8" t="n">
        <v>-0.0317</v>
      </c>
    </row>
    <row r="142">
      <c r="A142" t="inlineStr">
        <is>
          <t>2025-10-28</t>
        </is>
      </c>
      <c r="B142" t="inlineStr">
        <is>
          <t>096240</t>
        </is>
      </c>
      <c r="C142" t="inlineStr">
        <is>
          <t>크레버스</t>
        </is>
      </c>
      <c r="D142" t="inlineStr">
        <is>
          <t>코스닥</t>
        </is>
      </c>
      <c r="E142" s="11" t="n">
        <v>3.24</v>
      </c>
      <c r="F142" s="11" t="n">
        <v>2.89</v>
      </c>
      <c r="G142" s="8">
        <f>IF(F142=0,0,E142/F142)</f>
        <v/>
      </c>
      <c r="H142" s="11" t="n">
        <v>0</v>
      </c>
      <c r="I142" s="8" t="n">
        <v>0.0258</v>
      </c>
      <c r="J142" s="8" t="n">
        <v>0.0735</v>
      </c>
    </row>
    <row r="143">
      <c r="A143" t="inlineStr">
        <is>
          <t>2025-10-28</t>
        </is>
      </c>
      <c r="B143" t="inlineStr">
        <is>
          <t>300080</t>
        </is>
      </c>
      <c r="C143" t="inlineStr">
        <is>
          <t>플리토</t>
        </is>
      </c>
      <c r="D143" t="inlineStr">
        <is>
          <t>코스닥</t>
        </is>
      </c>
      <c r="E143" s="11" t="n">
        <v>5.28</v>
      </c>
      <c r="F143" s="11" t="n">
        <v>43.6</v>
      </c>
      <c r="G143" s="8">
        <f>IF(F143=0,0,E143/F143)</f>
        <v/>
      </c>
      <c r="H143" s="11" t="n">
        <v>0</v>
      </c>
      <c r="I143" s="8" t="n">
        <v>-0.1107</v>
      </c>
      <c r="J143" s="8" t="n">
        <v>0.1353</v>
      </c>
    </row>
    <row r="144">
      <c r="A144" t="inlineStr">
        <is>
          <t>2025-10-27</t>
        </is>
      </c>
      <c r="B144" t="inlineStr">
        <is>
          <t>096350</t>
        </is>
      </c>
      <c r="C144" t="inlineStr">
        <is>
          <t>대창솔루션</t>
        </is>
      </c>
      <c r="D144" t="inlineStr">
        <is>
          <t>코스닥</t>
        </is>
      </c>
      <c r="E144" s="11" t="n">
        <v>3.32</v>
      </c>
      <c r="F144" s="11" t="n">
        <v>3.8</v>
      </c>
      <c r="G144" s="8">
        <f>IF(F144=0,0,E144/F144)</f>
        <v/>
      </c>
      <c r="H144" s="11" t="n">
        <v>0</v>
      </c>
      <c r="I144" s="8" t="n">
        <v>-0.0648</v>
      </c>
      <c r="J144" s="8" t="n">
        <v>-0.1835</v>
      </c>
    </row>
    <row r="145">
      <c r="A145" t="inlineStr">
        <is>
          <t>2025-10-24</t>
        </is>
      </c>
      <c r="B145" t="inlineStr">
        <is>
          <t>457550</t>
        </is>
      </c>
      <c r="C145" t="inlineStr">
        <is>
          <t>우진엔텍</t>
        </is>
      </c>
      <c r="D145" t="inlineStr">
        <is>
          <t>코스닥</t>
        </is>
      </c>
      <c r="E145" s="11" t="n">
        <v>9.19</v>
      </c>
      <c r="F145" s="11" t="n">
        <v>46.17</v>
      </c>
      <c r="G145" s="8">
        <f>IF(F145=0,0,E145/F145)</f>
        <v/>
      </c>
      <c r="H145" s="11" t="n">
        <v>0</v>
      </c>
      <c r="I145" s="8" t="n">
        <v>-0.0151</v>
      </c>
      <c r="J145" s="8" t="n">
        <v>-0.1455</v>
      </c>
    </row>
    <row r="146">
      <c r="A146" t="inlineStr">
        <is>
          <t>2025-10-17</t>
        </is>
      </c>
      <c r="B146" t="inlineStr">
        <is>
          <t>041830</t>
        </is>
      </c>
      <c r="C146" t="inlineStr">
        <is>
          <t>인바디</t>
        </is>
      </c>
      <c r="D146" t="inlineStr">
        <is>
          <t>코스닥</t>
        </is>
      </c>
      <c r="E146" s="11" t="n">
        <v>3.34</v>
      </c>
      <c r="F146" s="11" t="n">
        <v>15.51</v>
      </c>
      <c r="G146" s="8">
        <f>IF(F146=0,0,E146/F146)</f>
        <v/>
      </c>
      <c r="H146" s="11" t="n">
        <v>0</v>
      </c>
      <c r="I146" s="8" t="n">
        <v>0.0019</v>
      </c>
      <c r="J146" s="8" t="n">
        <v>0.0476</v>
      </c>
    </row>
    <row r="147">
      <c r="A147" t="inlineStr">
        <is>
          <t>2025-10-15</t>
        </is>
      </c>
      <c r="B147" t="inlineStr">
        <is>
          <t>130660</t>
        </is>
      </c>
      <c r="C147" t="inlineStr">
        <is>
          <t>한전산업</t>
        </is>
      </c>
      <c r="D147" t="inlineStr">
        <is>
          <t>코스피</t>
        </is>
      </c>
      <c r="E147" s="11" t="n">
        <v>6.56</v>
      </c>
      <c r="F147" s="11" t="n">
        <v>15.08</v>
      </c>
      <c r="G147" s="8">
        <f>IF(F147=0,0,E147/F147)</f>
        <v/>
      </c>
      <c r="H147" s="11" t="n">
        <v>0.22</v>
      </c>
      <c r="I147" s="8" t="n">
        <v>-0.0379</v>
      </c>
      <c r="J147" s="8" t="n">
        <v>-0.1111</v>
      </c>
    </row>
    <row r="148">
      <c r="A148" t="inlineStr">
        <is>
          <t>2025-10-15</t>
        </is>
      </c>
      <c r="B148" t="inlineStr">
        <is>
          <t>299030</t>
        </is>
      </c>
      <c r="C148" t="inlineStr">
        <is>
          <t>하나기술</t>
        </is>
      </c>
      <c r="D148" t="inlineStr">
        <is>
          <t>코스닥</t>
        </is>
      </c>
      <c r="E148" s="11" t="n">
        <v>4.16</v>
      </c>
      <c r="F148" s="11" t="n">
        <v>18.76</v>
      </c>
      <c r="G148" s="8">
        <f>IF(F148=0,0,E148/F148)</f>
        <v/>
      </c>
      <c r="H148" s="11" t="n">
        <v>0</v>
      </c>
      <c r="I148" s="8" t="n">
        <v>0.0784</v>
      </c>
      <c r="J148" s="8" t="n">
        <v>0.1179</v>
      </c>
    </row>
    <row r="149">
      <c r="A149" t="inlineStr">
        <is>
          <t>2025-10-15</t>
        </is>
      </c>
      <c r="B149" t="inlineStr">
        <is>
          <t>355150</t>
        </is>
      </c>
      <c r="C149" t="inlineStr">
        <is>
          <t>코스텍시스</t>
        </is>
      </c>
      <c r="D149" t="inlineStr">
        <is>
          <t>코스닥</t>
        </is>
      </c>
      <c r="E149" s="11" t="n">
        <v>5.05</v>
      </c>
      <c r="F149" s="11" t="n">
        <v>16.4</v>
      </c>
      <c r="G149" s="8">
        <f>IF(F149=0,0,E149/F149)</f>
        <v/>
      </c>
      <c r="H149" s="11" t="n">
        <v>0</v>
      </c>
      <c r="I149" s="8" t="n">
        <v>-0.0554</v>
      </c>
      <c r="J149" s="8" t="n">
        <v>-0.1267</v>
      </c>
    </row>
    <row r="150">
      <c r="A150" t="inlineStr">
        <is>
          <t>2025-10-14</t>
        </is>
      </c>
      <c r="B150" t="inlineStr">
        <is>
          <t>297090</t>
        </is>
      </c>
      <c r="C150" t="inlineStr">
        <is>
          <t>씨에스베어링</t>
        </is>
      </c>
      <c r="D150" t="inlineStr">
        <is>
          <t>코스닥</t>
        </is>
      </c>
      <c r="E150" s="11" t="n">
        <v>3.46</v>
      </c>
      <c r="F150" s="11" t="n">
        <v>9.69</v>
      </c>
      <c r="G150" s="8">
        <f>IF(F150=0,0,E150/F150)</f>
        <v/>
      </c>
      <c r="H150" s="11" t="n">
        <v>0</v>
      </c>
      <c r="I150" s="8" t="n">
        <v>-0.0519</v>
      </c>
      <c r="J150" s="8" t="n">
        <v>-0.0183</v>
      </c>
    </row>
    <row r="151">
      <c r="A151" t="inlineStr">
        <is>
          <t>2025-10-10</t>
        </is>
      </c>
      <c r="B151" t="inlineStr">
        <is>
          <t>060280</t>
        </is>
      </c>
      <c r="C151" t="inlineStr">
        <is>
          <t>큐렉소</t>
        </is>
      </c>
      <c r="D151" t="inlineStr">
        <is>
          <t>코스닥</t>
        </is>
      </c>
      <c r="E151" s="11" t="n">
        <v>3.82</v>
      </c>
      <c r="F151" s="11" t="n">
        <v>16.96</v>
      </c>
      <c r="G151" s="8">
        <f>IF(F151=0,0,E151/F151)</f>
        <v/>
      </c>
      <c r="H151" s="11" t="n">
        <v>0.22</v>
      </c>
      <c r="I151" s="8" t="n">
        <v>0.0177</v>
      </c>
      <c r="J151" s="8" t="n">
        <v>0.1551</v>
      </c>
    </row>
    <row r="152">
      <c r="A152" t="inlineStr">
        <is>
          <t>2025-10-02</t>
        </is>
      </c>
      <c r="B152" t="inlineStr">
        <is>
          <t>061970</t>
        </is>
      </c>
      <c r="C152" t="inlineStr">
        <is>
          <t>LB세미콘</t>
        </is>
      </c>
      <c r="D152" t="inlineStr">
        <is>
          <t>코스닥</t>
        </is>
      </c>
      <c r="E152" s="11" t="n">
        <v>3.39</v>
      </c>
      <c r="F152" s="11" t="n">
        <v>43.66</v>
      </c>
      <c r="G152" s="8">
        <f>IF(F152=0,0,E152/F152)</f>
        <v/>
      </c>
      <c r="H152" s="11" t="n">
        <v>0</v>
      </c>
      <c r="I152" s="8" t="n">
        <v>-0.045</v>
      </c>
      <c r="J152" s="8" t="n">
        <v>-0.1262</v>
      </c>
    </row>
    <row r="153">
      <c r="A153" t="inlineStr">
        <is>
          <t>2025-09-29</t>
        </is>
      </c>
      <c r="B153" t="inlineStr">
        <is>
          <t>004710</t>
        </is>
      </c>
      <c r="C153" t="inlineStr">
        <is>
          <t>한솔테크닉스</t>
        </is>
      </c>
      <c r="D153" t="inlineStr">
        <is>
          <t>코스피</t>
        </is>
      </c>
      <c r="E153" s="11" t="n">
        <v>11.5</v>
      </c>
      <c r="F153" s="11" t="n">
        <v>22.22</v>
      </c>
      <c r="G153" s="8">
        <f>IF(F153=0,0,E153/F153)</f>
        <v/>
      </c>
      <c r="H153" s="11" t="n">
        <v>0</v>
      </c>
      <c r="I153" s="8" t="n">
        <v>-0.049</v>
      </c>
      <c r="J153" s="8" t="n">
        <v>0.0314</v>
      </c>
    </row>
    <row r="154">
      <c r="A154" t="inlineStr">
        <is>
          <t>2025-09-23</t>
        </is>
      </c>
      <c r="B154" t="inlineStr">
        <is>
          <t>254490</t>
        </is>
      </c>
      <c r="C154" t="inlineStr">
        <is>
          <t>미래반도체</t>
        </is>
      </c>
      <c r="D154" t="inlineStr">
        <is>
          <t>코스닥</t>
        </is>
      </c>
      <c r="E154" s="11" t="n">
        <v>3.88</v>
      </c>
      <c r="F154" s="11" t="n">
        <v>20.27</v>
      </c>
      <c r="G154" s="8">
        <f>IF(F154=0,0,E154/F154)</f>
        <v/>
      </c>
      <c r="H154" s="11" t="n">
        <v>0</v>
      </c>
      <c r="I154" s="8" t="n">
        <v>-0.0624</v>
      </c>
      <c r="J154" s="8" t="n">
        <v>-0.0445</v>
      </c>
    </row>
    <row r="155">
      <c r="A155" t="inlineStr">
        <is>
          <t>2025-09-19</t>
        </is>
      </c>
      <c r="B155" t="inlineStr">
        <is>
          <t>092870</t>
        </is>
      </c>
      <c r="C155" t="inlineStr">
        <is>
          <t>엑시콘</t>
        </is>
      </c>
      <c r="D155" t="inlineStr">
        <is>
          <t>코스닥</t>
        </is>
      </c>
      <c r="E155" s="11" t="n">
        <v>14.26</v>
      </c>
      <c r="F155" s="11" t="n">
        <v>61.98</v>
      </c>
      <c r="G155" s="8">
        <f>IF(F155=0,0,E155/F155)</f>
        <v/>
      </c>
      <c r="H155" s="11" t="n">
        <v>0</v>
      </c>
      <c r="I155" s="8" t="n">
        <v>-0.1575</v>
      </c>
      <c r="J155" s="8" t="n">
        <v>-0.0572</v>
      </c>
    </row>
    <row r="156">
      <c r="A156" t="inlineStr">
        <is>
          <t>2025-09-19</t>
        </is>
      </c>
      <c r="B156" t="inlineStr">
        <is>
          <t>455900</t>
        </is>
      </c>
      <c r="C156" t="inlineStr">
        <is>
          <t>엔젤로보틱스</t>
        </is>
      </c>
      <c r="D156" t="inlineStr">
        <is>
          <t>코스닥</t>
        </is>
      </c>
      <c r="E156" s="11" t="n">
        <v>6.46</v>
      </c>
      <c r="F156" s="11" t="n">
        <v>23</v>
      </c>
      <c r="G156" s="8">
        <f>IF(F156=0,0,E156/F156)</f>
        <v/>
      </c>
      <c r="H156" s="11" t="n">
        <v>0</v>
      </c>
      <c r="I156" s="8" t="n">
        <v>-0.0633</v>
      </c>
      <c r="J156" s="8" t="n">
        <v>0.1383</v>
      </c>
    </row>
    <row r="157">
      <c r="A157" t="inlineStr">
        <is>
          <t>2025-09-18</t>
        </is>
      </c>
      <c r="B157" t="inlineStr">
        <is>
          <t>127120</t>
        </is>
      </c>
      <c r="C157" t="inlineStr">
        <is>
          <t>제이에스링크</t>
        </is>
      </c>
      <c r="D157" t="inlineStr">
        <is>
          <t>코스닥</t>
        </is>
      </c>
      <c r="E157" s="11" t="n">
        <v>5.92</v>
      </c>
      <c r="F157" s="11" t="n">
        <v>60.73</v>
      </c>
      <c r="G157" s="8">
        <f>IF(F157=0,0,E157/F157)</f>
        <v/>
      </c>
      <c r="H157" s="11" t="n">
        <v>0</v>
      </c>
      <c r="I157" s="8" t="n">
        <v>0.2177</v>
      </c>
      <c r="J157" s="8" t="n">
        <v>0.018</v>
      </c>
    </row>
    <row r="158">
      <c r="A158" t="inlineStr">
        <is>
          <t>2025-09-18</t>
        </is>
      </c>
      <c r="B158" t="inlineStr">
        <is>
          <t>440110</t>
        </is>
      </c>
      <c r="C158" t="inlineStr">
        <is>
          <t>파두</t>
        </is>
      </c>
      <c r="D158" t="inlineStr">
        <is>
          <t>코스닥</t>
        </is>
      </c>
      <c r="E158" s="11" t="n">
        <v>7.38</v>
      </c>
      <c r="F158" s="11" t="n">
        <v>51.5</v>
      </c>
      <c r="G158" s="8">
        <f>IF(F158=0,0,E158/F158)</f>
        <v/>
      </c>
      <c r="H158" s="11" t="n">
        <v>0</v>
      </c>
      <c r="I158" s="8" t="n">
        <v>0.0452</v>
      </c>
      <c r="J158" s="8" t="n">
        <v>0.0182</v>
      </c>
    </row>
    <row r="159">
      <c r="A159" t="inlineStr">
        <is>
          <t>2025-09-17</t>
        </is>
      </c>
      <c r="B159" t="inlineStr">
        <is>
          <t>039440</t>
        </is>
      </c>
      <c r="C159" t="inlineStr">
        <is>
          <t>에스티아이</t>
        </is>
      </c>
      <c r="D159" t="inlineStr">
        <is>
          <t>코스닥</t>
        </is>
      </c>
      <c r="E159" s="11" t="n">
        <v>4.31</v>
      </c>
      <c r="F159" s="11" t="n">
        <v>26.08</v>
      </c>
      <c r="G159" s="8">
        <f>IF(F159=0,0,E159/F159)</f>
        <v/>
      </c>
      <c r="H159" s="11" t="n">
        <v>0.01</v>
      </c>
      <c r="I159" s="8" t="n">
        <v>0.1715</v>
      </c>
      <c r="J159" s="8" t="n">
        <v>0.0829</v>
      </c>
    </row>
    <row r="160">
      <c r="A160" t="inlineStr">
        <is>
          <t>2025-09-17</t>
        </is>
      </c>
      <c r="B160" t="inlineStr">
        <is>
          <t>078350</t>
        </is>
      </c>
      <c r="C160" t="inlineStr">
        <is>
          <t>한양디지텍</t>
        </is>
      </c>
      <c r="D160" t="inlineStr">
        <is>
          <t>코스닥</t>
        </is>
      </c>
      <c r="E160" s="11" t="n">
        <v>3.1</v>
      </c>
      <c r="F160" s="11" t="n">
        <v>28.34</v>
      </c>
      <c r="G160" s="8">
        <f>IF(F160=0,0,E160/F160)</f>
        <v/>
      </c>
      <c r="H160" s="11" t="n">
        <v>0</v>
      </c>
      <c r="I160" s="8" t="n">
        <v>0.1975</v>
      </c>
      <c r="J160" s="8" t="n">
        <v>0.4076</v>
      </c>
    </row>
    <row r="161">
      <c r="A161" t="inlineStr">
        <is>
          <t>2025-09-17</t>
        </is>
      </c>
      <c r="B161" t="inlineStr">
        <is>
          <t>089970</t>
        </is>
      </c>
      <c r="C161" t="inlineStr">
        <is>
          <t>브이엠</t>
        </is>
      </c>
      <c r="D161" t="inlineStr">
        <is>
          <t>코스닥</t>
        </is>
      </c>
      <c r="E161" s="11" t="n">
        <v>13.22</v>
      </c>
      <c r="F161" s="11" t="n">
        <v>24.97</v>
      </c>
      <c r="G161" s="8">
        <f>IF(F161=0,0,E161/F161)</f>
        <v/>
      </c>
      <c r="H161" s="11" t="n">
        <v>0</v>
      </c>
      <c r="I161" s="8" t="n">
        <v>0.0806</v>
      </c>
      <c r="J161" s="8" t="n">
        <v>0.3625</v>
      </c>
    </row>
    <row r="162">
      <c r="A162" t="inlineStr">
        <is>
          <t>2025-09-16</t>
        </is>
      </c>
      <c r="B162" t="inlineStr">
        <is>
          <t>200710</t>
        </is>
      </c>
      <c r="C162" t="inlineStr">
        <is>
          <t>에이디테크놀로지</t>
        </is>
      </c>
      <c r="D162" t="inlineStr">
        <is>
          <t>코스닥</t>
        </is>
      </c>
      <c r="E162" s="11" t="n">
        <v>8.16</v>
      </c>
      <c r="F162" s="11" t="n">
        <v>70.81</v>
      </c>
      <c r="G162" s="8">
        <f>IF(F162=0,0,E162/F162)</f>
        <v/>
      </c>
      <c r="H162" s="11" t="n">
        <v>0</v>
      </c>
      <c r="I162" s="8" t="n">
        <v>0.0465</v>
      </c>
      <c r="J162" s="8" t="n">
        <v>0.1117</v>
      </c>
    </row>
    <row r="163">
      <c r="A163" t="inlineStr">
        <is>
          <t>2025-09-15</t>
        </is>
      </c>
      <c r="B163" t="inlineStr">
        <is>
          <t>425040</t>
        </is>
      </c>
      <c r="C163" t="inlineStr">
        <is>
          <t>티이엠씨</t>
        </is>
      </c>
      <c r="D163" t="inlineStr">
        <is>
          <t>코스닥</t>
        </is>
      </c>
      <c r="E163" s="11" t="n">
        <v>4.27</v>
      </c>
      <c r="F163" s="11" t="n">
        <v>8.67</v>
      </c>
      <c r="G163" s="8">
        <f>IF(F163=0,0,E163/F163)</f>
        <v/>
      </c>
      <c r="H163" s="11" t="n">
        <v>0</v>
      </c>
      <c r="I163" s="8" t="n">
        <v>0.0374</v>
      </c>
      <c r="J163" s="8" t="n">
        <v>0.1522</v>
      </c>
    </row>
    <row r="164">
      <c r="A164" t="inlineStr">
        <is>
          <t>2025-09-12</t>
        </is>
      </c>
      <c r="B164" t="inlineStr">
        <is>
          <t>105740</t>
        </is>
      </c>
      <c r="C164" t="inlineStr">
        <is>
          <t>디케이락</t>
        </is>
      </c>
      <c r="D164" t="inlineStr">
        <is>
          <t>코스닥</t>
        </is>
      </c>
      <c r="E164" s="11" t="n">
        <v>4.57</v>
      </c>
      <c r="F164" s="11" t="n">
        <v>46.4</v>
      </c>
      <c r="G164" s="8">
        <f>IF(F164=0,0,E164/F164)</f>
        <v/>
      </c>
      <c r="H164" s="11" t="n">
        <v>0.11</v>
      </c>
      <c r="I164" s="8" t="n">
        <v>-0.021</v>
      </c>
      <c r="J164" s="8" t="n">
        <v>0.0127</v>
      </c>
    </row>
    <row r="165">
      <c r="A165" t="inlineStr">
        <is>
          <t>2025-09-12</t>
        </is>
      </c>
      <c r="B165" t="inlineStr">
        <is>
          <t>416180</t>
        </is>
      </c>
      <c r="C165" t="inlineStr">
        <is>
          <t>신성에스티</t>
        </is>
      </c>
      <c r="D165" t="inlineStr">
        <is>
          <t>코스닥</t>
        </is>
      </c>
      <c r="E165" s="11" t="n">
        <v>3.36</v>
      </c>
      <c r="F165" s="11" t="n">
        <v>30.62</v>
      </c>
      <c r="G165" s="8">
        <f>IF(F165=0,0,E165/F165)</f>
        <v/>
      </c>
      <c r="H165" s="11" t="n">
        <v>0.27</v>
      </c>
      <c r="I165" s="8" t="n">
        <v>-0.0421</v>
      </c>
      <c r="J165" s="8" t="n">
        <v>0.257</v>
      </c>
    </row>
    <row r="166">
      <c r="A166" t="inlineStr">
        <is>
          <t>2025-09-12</t>
        </is>
      </c>
      <c r="B166" t="inlineStr">
        <is>
          <t>252990</t>
        </is>
      </c>
      <c r="C166" t="inlineStr">
        <is>
          <t>샘씨엔에스</t>
        </is>
      </c>
      <c r="D166" t="inlineStr">
        <is>
          <t>코스닥</t>
        </is>
      </c>
      <c r="E166" s="11" t="n">
        <v>5</v>
      </c>
      <c r="F166" s="11" t="n">
        <v>8.81</v>
      </c>
      <c r="G166" s="8">
        <f>IF(F166=0,0,E166/F166)</f>
        <v/>
      </c>
      <c r="H166" s="11" t="n">
        <v>0</v>
      </c>
      <c r="I166" s="8" t="n">
        <v>0.0284</v>
      </c>
      <c r="J166" s="8" t="n">
        <v>0.2093</v>
      </c>
    </row>
    <row r="167">
      <c r="A167" t="inlineStr">
        <is>
          <t>2025-09-12</t>
        </is>
      </c>
      <c r="B167" t="inlineStr">
        <is>
          <t>204270</t>
        </is>
      </c>
      <c r="C167" t="inlineStr">
        <is>
          <t>제이앤티씨</t>
        </is>
      </c>
      <c r="D167" t="inlineStr">
        <is>
          <t>코스닥</t>
        </is>
      </c>
      <c r="E167" s="11" t="n">
        <v>5.35</v>
      </c>
      <c r="F167" s="11" t="n">
        <v>30.54</v>
      </c>
      <c r="G167" s="8">
        <f>IF(F167=0,0,E167/F167)</f>
        <v/>
      </c>
      <c r="H167" s="11" t="n">
        <v>0.14</v>
      </c>
      <c r="I167" s="8" t="n">
        <v>0.09080000000000001</v>
      </c>
      <c r="J167" s="8" t="n">
        <v>0.2773</v>
      </c>
    </row>
    <row r="168">
      <c r="A168" t="inlineStr">
        <is>
          <t>2025-09-11</t>
        </is>
      </c>
      <c r="B168" t="inlineStr">
        <is>
          <t>099320</t>
        </is>
      </c>
      <c r="C168" t="inlineStr">
        <is>
          <t>쎄트렉아이</t>
        </is>
      </c>
      <c r="D168" t="inlineStr">
        <is>
          <t>코스닥</t>
        </is>
      </c>
      <c r="E168" s="11" t="n">
        <v>8.82</v>
      </c>
      <c r="F168" s="11" t="n">
        <v>38.18</v>
      </c>
      <c r="G168" s="8">
        <f>IF(F168=0,0,E168/F168)</f>
        <v/>
      </c>
      <c r="H168" s="11" t="n">
        <v>0</v>
      </c>
      <c r="I168" s="8" t="n">
        <v>0.0259</v>
      </c>
      <c r="J168" s="8" t="n">
        <v>0.1225</v>
      </c>
    </row>
    <row r="169">
      <c r="A169" t="inlineStr">
        <is>
          <t>2025-09-09</t>
        </is>
      </c>
      <c r="B169" t="inlineStr">
        <is>
          <t>168360</t>
        </is>
      </c>
      <c r="C169" t="inlineStr">
        <is>
          <t>펨트론</t>
        </is>
      </c>
      <c r="D169" t="inlineStr">
        <is>
          <t>코스닥</t>
        </is>
      </c>
      <c r="E169" s="11" t="n">
        <v>7.83</v>
      </c>
      <c r="F169" s="11" t="n">
        <v>19.62</v>
      </c>
      <c r="G169" s="8">
        <f>IF(F169=0,0,E169/F169)</f>
        <v/>
      </c>
      <c r="H169" s="11" t="n">
        <v>0</v>
      </c>
      <c r="I169" s="8" t="n">
        <v>0.1907</v>
      </c>
      <c r="J169" s="8" t="n">
        <v>0.4534</v>
      </c>
    </row>
    <row r="170">
      <c r="A170" t="inlineStr">
        <is>
          <t>2025-09-09</t>
        </is>
      </c>
      <c r="B170" t="inlineStr">
        <is>
          <t>950160</t>
        </is>
      </c>
      <c r="C170" t="inlineStr">
        <is>
          <t>코오롱티슈진</t>
        </is>
      </c>
      <c r="D170" t="inlineStr">
        <is>
          <t>코스닥</t>
        </is>
      </c>
      <c r="E170" s="11" t="n">
        <v>6.82</v>
      </c>
      <c r="F170" s="11" t="n">
        <v>80.78</v>
      </c>
      <c r="G170" s="8">
        <f>IF(F170=0,0,E170/F170)</f>
        <v/>
      </c>
      <c r="H170" s="11" t="n">
        <v>0.28</v>
      </c>
      <c r="I170" s="8" t="n">
        <v>0.0219</v>
      </c>
      <c r="J170" s="8" t="n">
        <v>0.008699999999999999</v>
      </c>
    </row>
    <row r="171">
      <c r="A171" t="inlineStr">
        <is>
          <t>2025-09-08</t>
        </is>
      </c>
      <c r="B171" t="inlineStr">
        <is>
          <t>102940</t>
        </is>
      </c>
      <c r="C171" t="inlineStr">
        <is>
          <t>코오롱생명과학</t>
        </is>
      </c>
      <c r="D171" t="inlineStr">
        <is>
          <t>코스닥</t>
        </is>
      </c>
      <c r="E171" s="11" t="n">
        <v>3.45</v>
      </c>
      <c r="F171" s="11" t="n">
        <v>5.81</v>
      </c>
      <c r="G171" s="8">
        <f>IF(F171=0,0,E171/F171)</f>
        <v/>
      </c>
      <c r="H171" s="11" t="n">
        <v>0</v>
      </c>
      <c r="I171" s="8" t="n">
        <v>-0.0163</v>
      </c>
      <c r="J171" s="8" t="n">
        <v>-0.093</v>
      </c>
    </row>
    <row r="172">
      <c r="A172" t="inlineStr">
        <is>
          <t>2025-09-08</t>
        </is>
      </c>
      <c r="B172" t="inlineStr">
        <is>
          <t>049470</t>
        </is>
      </c>
      <c r="C172" t="inlineStr">
        <is>
          <t>비트플래닛</t>
        </is>
      </c>
      <c r="D172" t="inlineStr">
        <is>
          <t>코스닥</t>
        </is>
      </c>
      <c r="E172" s="11" t="n">
        <v>8.619999999999999</v>
      </c>
      <c r="F172" s="11" t="n">
        <v>145.95</v>
      </c>
      <c r="G172" s="8">
        <f>IF(F172=0,0,E172/F172)</f>
        <v/>
      </c>
      <c r="H172" s="11" t="n">
        <v>0</v>
      </c>
      <c r="I172" s="8" t="n">
        <v>-0.0616</v>
      </c>
      <c r="J172" s="8" t="n">
        <v>-0.2841</v>
      </c>
    </row>
    <row r="173">
      <c r="A173" t="inlineStr">
        <is>
          <t>2025-09-08</t>
        </is>
      </c>
      <c r="B173" t="inlineStr">
        <is>
          <t>474650</t>
        </is>
      </c>
      <c r="C173" t="inlineStr">
        <is>
          <t>링크솔루션</t>
        </is>
      </c>
      <c r="D173" t="inlineStr">
        <is>
          <t>코스닥</t>
        </is>
      </c>
      <c r="E173" s="11" t="n">
        <v>5.33</v>
      </c>
      <c r="F173" s="11" t="n">
        <v>15.04</v>
      </c>
      <c r="G173" s="8">
        <f>IF(F173=0,0,E173/F173)</f>
        <v/>
      </c>
      <c r="H173" s="11" t="n">
        <v>0</v>
      </c>
      <c r="I173" s="8" t="n">
        <v>-0.0668</v>
      </c>
      <c r="J173" s="8" t="n">
        <v>-0.2299</v>
      </c>
    </row>
    <row r="174">
      <c r="A174" t="inlineStr">
        <is>
          <t>2025-09-05</t>
        </is>
      </c>
      <c r="B174" t="inlineStr">
        <is>
          <t>059120</t>
        </is>
      </c>
      <c r="C174" t="inlineStr">
        <is>
          <t>아진엑스텍</t>
        </is>
      </c>
      <c r="D174" t="inlineStr">
        <is>
          <t>코스닥</t>
        </is>
      </c>
      <c r="E174" s="11" t="n">
        <v>3.03</v>
      </c>
      <c r="F174" s="11" t="n">
        <v>38.9</v>
      </c>
      <c r="G174" s="8">
        <f>IF(F174=0,0,E174/F174)</f>
        <v/>
      </c>
      <c r="H174" s="11" t="n">
        <v>0</v>
      </c>
      <c r="I174" s="8" t="n">
        <v>0.0295</v>
      </c>
      <c r="J174" s="8" t="n">
        <v>0.1668</v>
      </c>
    </row>
    <row r="175">
      <c r="A175" t="inlineStr">
        <is>
          <t>2025-09-04</t>
        </is>
      </c>
      <c r="B175" t="inlineStr">
        <is>
          <t>475830</t>
        </is>
      </c>
      <c r="C175" t="inlineStr">
        <is>
          <t>오름테라퓨틱</t>
        </is>
      </c>
      <c r="D175" t="inlineStr">
        <is>
          <t>코스닥</t>
        </is>
      </c>
      <c r="E175" s="11" t="n">
        <v>7.23</v>
      </c>
      <c r="F175" s="11" t="n">
        <v>40.33</v>
      </c>
      <c r="G175" s="8">
        <f>IF(F175=0,0,E175/F175)</f>
        <v/>
      </c>
      <c r="H175" s="11" t="n">
        <v>0</v>
      </c>
      <c r="I175" s="8" t="n">
        <v>0.0233</v>
      </c>
      <c r="J175" s="8" t="n">
        <v>0.0951</v>
      </c>
    </row>
    <row r="176">
      <c r="A176" t="inlineStr">
        <is>
          <t>2025-09-02</t>
        </is>
      </c>
      <c r="B176" t="inlineStr">
        <is>
          <t>411080</t>
        </is>
      </c>
      <c r="C176" t="inlineStr">
        <is>
          <t>샌즈랩</t>
        </is>
      </c>
      <c r="D176" t="inlineStr">
        <is>
          <t>코스닥</t>
        </is>
      </c>
      <c r="E176" s="11" t="n">
        <v>4.49</v>
      </c>
      <c r="F176" s="11" t="n">
        <v>5.08</v>
      </c>
      <c r="G176" s="8">
        <f>IF(F176=0,0,E176/F176)</f>
        <v/>
      </c>
      <c r="H176" s="11" t="n">
        <v>0</v>
      </c>
      <c r="I176" s="8" t="n">
        <v>-0.0089</v>
      </c>
      <c r="J176" s="8" t="n">
        <v>0.0294</v>
      </c>
    </row>
    <row r="177">
      <c r="A177" t="inlineStr">
        <is>
          <t>2025-09-02</t>
        </is>
      </c>
      <c r="B177" t="inlineStr">
        <is>
          <t>388720</t>
        </is>
      </c>
      <c r="C177" t="inlineStr">
        <is>
          <t>유일로보틱스</t>
        </is>
      </c>
      <c r="D177" t="inlineStr">
        <is>
          <t>코스닥</t>
        </is>
      </c>
      <c r="E177" s="11" t="n">
        <v>4.54</v>
      </c>
      <c r="F177" s="11" t="n">
        <v>46.02</v>
      </c>
      <c r="G177" s="8">
        <f>IF(F177=0,0,E177/F177)</f>
        <v/>
      </c>
      <c r="H177" s="11" t="n">
        <v>0.18</v>
      </c>
      <c r="I177" s="8" t="n">
        <v>-0.0509</v>
      </c>
      <c r="J177" s="8" t="n">
        <v>-0.1073</v>
      </c>
    </row>
    <row r="178">
      <c r="A178" t="inlineStr">
        <is>
          <t>2025-08-29</t>
        </is>
      </c>
      <c r="B178" t="inlineStr">
        <is>
          <t>007810</t>
        </is>
      </c>
      <c r="C178" t="inlineStr">
        <is>
          <t>코리아써키트</t>
        </is>
      </c>
      <c r="D178" t="inlineStr">
        <is>
          <t>코스피</t>
        </is>
      </c>
      <c r="E178" s="11" t="n">
        <v>3.03</v>
      </c>
      <c r="F178" s="11" t="n">
        <v>8.449999999999999</v>
      </c>
      <c r="G178" s="8">
        <f>IF(F178=0,0,E178/F178)</f>
        <v/>
      </c>
      <c r="H178" s="11" t="n">
        <v>0.11</v>
      </c>
      <c r="I178" s="8" t="n">
        <v>0.0471</v>
      </c>
      <c r="J178" s="8" t="n">
        <v>0.3599</v>
      </c>
    </row>
    <row r="179">
      <c r="A179" t="inlineStr">
        <is>
          <t>2025-08-26</t>
        </is>
      </c>
      <c r="B179" t="inlineStr">
        <is>
          <t>259630</t>
        </is>
      </c>
      <c r="C179" t="inlineStr">
        <is>
          <t>엠플러스</t>
        </is>
      </c>
      <c r="D179" t="inlineStr">
        <is>
          <t>코스닥</t>
        </is>
      </c>
      <c r="E179" s="11" t="n">
        <v>3.59</v>
      </c>
      <c r="F179" s="11" t="n">
        <v>14.41</v>
      </c>
      <c r="G179" s="8">
        <f>IF(F179=0,0,E179/F179)</f>
        <v/>
      </c>
      <c r="H179" s="11" t="n">
        <v>0</v>
      </c>
      <c r="I179" s="8" t="n">
        <v>-0.0594</v>
      </c>
      <c r="J179" s="8" t="n">
        <v>0.1461</v>
      </c>
    </row>
    <row r="180">
      <c r="A180" t="inlineStr">
        <is>
          <t>2025-08-25</t>
        </is>
      </c>
      <c r="B180" t="inlineStr">
        <is>
          <t>466100</t>
        </is>
      </c>
      <c r="C180" t="inlineStr">
        <is>
          <t>클로봇</t>
        </is>
      </c>
      <c r="D180" t="inlineStr">
        <is>
          <t>코스닥</t>
        </is>
      </c>
      <c r="E180" s="11" t="n">
        <v>7.26</v>
      </c>
      <c r="F180" s="11" t="n">
        <v>50.93</v>
      </c>
      <c r="G180" s="8">
        <f>IF(F180=0,0,E180/F180)</f>
        <v/>
      </c>
      <c r="H180" s="11" t="n">
        <v>0</v>
      </c>
      <c r="I180" s="8" t="n">
        <v>0.07630000000000001</v>
      </c>
      <c r="J180" s="8" t="n">
        <v>0.5675</v>
      </c>
    </row>
    <row r="181">
      <c r="A181" t="inlineStr">
        <is>
          <t>2025-08-22</t>
        </is>
      </c>
      <c r="B181" t="inlineStr">
        <is>
          <t>234340</t>
        </is>
      </c>
      <c r="C181" t="inlineStr">
        <is>
          <t>헥토파이낸셜</t>
        </is>
      </c>
      <c r="D181" t="inlineStr">
        <is>
          <t>코스닥</t>
        </is>
      </c>
      <c r="E181" s="11" t="n">
        <v>3.73</v>
      </c>
      <c r="F181" s="11" t="n">
        <v>50.94</v>
      </c>
      <c r="G181" s="8">
        <f>IF(F181=0,0,E181/F181)</f>
        <v/>
      </c>
      <c r="H181" s="11" t="n">
        <v>0</v>
      </c>
      <c r="I181" s="8" t="n">
        <v>-0.0505</v>
      </c>
      <c r="J181" s="8" t="n">
        <v>0.0472</v>
      </c>
    </row>
    <row r="182">
      <c r="A182" t="inlineStr">
        <is>
          <t>2025-08-21</t>
        </is>
      </c>
      <c r="B182" t="inlineStr">
        <is>
          <t>033530</t>
        </is>
      </c>
      <c r="C182" t="inlineStr">
        <is>
          <t>SJG세종</t>
        </is>
      </c>
      <c r="D182" t="inlineStr">
        <is>
          <t>코스피</t>
        </is>
      </c>
      <c r="E182" s="11" t="n">
        <v>3.19</v>
      </c>
      <c r="F182" s="11" t="n">
        <v>10.88</v>
      </c>
      <c r="G182" s="8">
        <f>IF(F182=0,0,E182/F182)</f>
        <v/>
      </c>
      <c r="H182" s="11" t="n">
        <v>0.12</v>
      </c>
      <c r="I182" s="8" t="n">
        <v>0.0202</v>
      </c>
      <c r="J182" s="8" t="n">
        <v>0.0961</v>
      </c>
    </row>
    <row r="183">
      <c r="A183" t="inlineStr">
        <is>
          <t>2025-08-20</t>
        </is>
      </c>
      <c r="B183" t="inlineStr">
        <is>
          <t>092460</t>
        </is>
      </c>
      <c r="C183" t="inlineStr">
        <is>
          <t>한라IMS</t>
        </is>
      </c>
      <c r="D183" t="inlineStr">
        <is>
          <t>코스닥</t>
        </is>
      </c>
      <c r="E183" s="11" t="n">
        <v>3.42</v>
      </c>
      <c r="F183" s="11" t="n">
        <v>42.13</v>
      </c>
      <c r="G183" s="8">
        <f>IF(F183=0,0,E183/F183)</f>
        <v/>
      </c>
      <c r="H183" s="11" t="n">
        <v>0</v>
      </c>
      <c r="I183" s="8" t="n">
        <v>0.0639</v>
      </c>
      <c r="J183" s="8" t="n">
        <v>0.3037</v>
      </c>
    </row>
    <row r="184">
      <c r="A184" t="inlineStr">
        <is>
          <t>2025-08-18</t>
        </is>
      </c>
      <c r="B184" t="inlineStr">
        <is>
          <t>126340</t>
        </is>
      </c>
      <c r="C184" t="inlineStr">
        <is>
          <t>비나텍</t>
        </is>
      </c>
      <c r="D184" t="inlineStr">
        <is>
          <t>코스닥</t>
        </is>
      </c>
      <c r="E184" s="11" t="n">
        <v>5.73</v>
      </c>
      <c r="F184" s="11" t="n">
        <v>8.51</v>
      </c>
      <c r="G184" s="8">
        <f>IF(F184=0,0,E184/F184)</f>
        <v/>
      </c>
      <c r="H184" s="11" t="n">
        <v>0</v>
      </c>
      <c r="I184" s="8" t="n">
        <v>0.0011</v>
      </c>
      <c r="J184" s="8" t="n">
        <v>0.3979</v>
      </c>
    </row>
    <row r="185">
      <c r="A185" t="inlineStr">
        <is>
          <t>2025-08-13</t>
        </is>
      </c>
      <c r="B185" t="inlineStr">
        <is>
          <t>161580</t>
        </is>
      </c>
      <c r="C185" t="inlineStr">
        <is>
          <t>필옵틱스</t>
        </is>
      </c>
      <c r="D185" t="inlineStr">
        <is>
          <t>코스닥</t>
        </is>
      </c>
      <c r="E185" s="11" t="n">
        <v>3.35</v>
      </c>
      <c r="F185" s="11" t="n">
        <v>50.51</v>
      </c>
      <c r="G185" s="8">
        <f>IF(F185=0,0,E185/F185)</f>
        <v/>
      </c>
      <c r="H185" s="11" t="n">
        <v>0</v>
      </c>
      <c r="I185" s="8" t="n">
        <v>-0.0535</v>
      </c>
      <c r="J185" s="8" t="n">
        <v>-0.0183</v>
      </c>
    </row>
    <row r="186">
      <c r="A186" t="inlineStr">
        <is>
          <t>2025-08-13</t>
        </is>
      </c>
      <c r="B186" t="inlineStr">
        <is>
          <t>122900</t>
        </is>
      </c>
      <c r="C186" t="inlineStr">
        <is>
          <t>아이마켓코리아</t>
        </is>
      </c>
      <c r="D186" t="inlineStr">
        <is>
          <t>코스피</t>
        </is>
      </c>
      <c r="E186" s="11" t="n">
        <v>3.35</v>
      </c>
      <c r="F186" s="11" t="n">
        <v>4.63</v>
      </c>
      <c r="G186" s="8">
        <f>IF(F186=0,0,E186/F186)</f>
        <v/>
      </c>
      <c r="H186" s="11" t="n">
        <v>0.12</v>
      </c>
      <c r="I186" s="8" t="n">
        <v>-0.006</v>
      </c>
      <c r="J186" s="8" t="n">
        <v>-0.0104</v>
      </c>
    </row>
    <row r="187">
      <c r="A187" t="inlineStr">
        <is>
          <t>2025-08-12</t>
        </is>
      </c>
      <c r="B187" t="inlineStr">
        <is>
          <t>025900</t>
        </is>
      </c>
      <c r="C187" t="inlineStr">
        <is>
          <t>동화기업</t>
        </is>
      </c>
      <c r="D187" t="inlineStr">
        <is>
          <t>코스닥</t>
        </is>
      </c>
      <c r="E187" s="11" t="n">
        <v>3.28</v>
      </c>
      <c r="F187" s="11" t="n">
        <v>18.57</v>
      </c>
      <c r="G187" s="8">
        <f>IF(F187=0,0,E187/F187)</f>
        <v/>
      </c>
      <c r="H187" s="11" t="n">
        <v>0</v>
      </c>
      <c r="I187" s="8" t="n">
        <v>-0.0359</v>
      </c>
      <c r="J187" s="8" t="n">
        <v>-0.1093</v>
      </c>
    </row>
    <row r="188">
      <c r="A188" t="inlineStr">
        <is>
          <t>2025-08-11</t>
        </is>
      </c>
      <c r="B188" t="inlineStr">
        <is>
          <t>147830</t>
        </is>
      </c>
      <c r="C188" t="inlineStr">
        <is>
          <t>제룡산업</t>
        </is>
      </c>
      <c r="D188" t="inlineStr">
        <is>
          <t>코스닥</t>
        </is>
      </c>
      <c r="E188" s="11" t="n">
        <v>5.1</v>
      </c>
      <c r="F188" s="11" t="n">
        <v>8.710000000000001</v>
      </c>
      <c r="G188" s="8">
        <f>IF(F188=0,0,E188/F188)</f>
        <v/>
      </c>
      <c r="H188" s="11" t="n">
        <v>0</v>
      </c>
      <c r="I188" s="8" t="n">
        <v>-0.1222</v>
      </c>
      <c r="J188" s="8" t="n">
        <v>-0.1832</v>
      </c>
    </row>
    <row r="189">
      <c r="A189" t="inlineStr">
        <is>
          <t>2025-07-31</t>
        </is>
      </c>
      <c r="B189" t="inlineStr">
        <is>
          <t>214270</t>
        </is>
      </c>
      <c r="C189" t="inlineStr">
        <is>
          <t>FSN</t>
        </is>
      </c>
      <c r="D189" t="inlineStr">
        <is>
          <t>코스닥</t>
        </is>
      </c>
      <c r="E189" s="11" t="n">
        <v>4.18</v>
      </c>
      <c r="F189" s="11" t="n">
        <v>26.61</v>
      </c>
      <c r="G189" s="8">
        <f>IF(F189=0,0,E189/F189)</f>
        <v/>
      </c>
      <c r="H189" s="11" t="n">
        <v>0</v>
      </c>
      <c r="I189" s="8" t="n">
        <v>0.2143</v>
      </c>
      <c r="J189" s="8" t="n">
        <v>0.0919</v>
      </c>
    </row>
    <row r="190">
      <c r="A190" t="inlineStr">
        <is>
          <t>2025-07-30</t>
        </is>
      </c>
      <c r="B190" t="inlineStr">
        <is>
          <t>353810</t>
        </is>
      </c>
      <c r="C190" t="inlineStr">
        <is>
          <t>이지바이오</t>
        </is>
      </c>
      <c r="D190" t="inlineStr">
        <is>
          <t>코스닥</t>
        </is>
      </c>
      <c r="E190" s="11" t="n">
        <v>4.21</v>
      </c>
      <c r="F190" s="11" t="n">
        <v>12.27</v>
      </c>
      <c r="G190" s="8">
        <f>IF(F190=0,0,E190/F190)</f>
        <v/>
      </c>
      <c r="H190" s="11" t="n">
        <v>0.1</v>
      </c>
      <c r="I190" s="8" t="n">
        <v>-0.0569</v>
      </c>
      <c r="J190" s="8" t="n">
        <v>-0.0365</v>
      </c>
    </row>
    <row r="191">
      <c r="A191" t="inlineStr">
        <is>
          <t>2025-07-24</t>
        </is>
      </c>
      <c r="B191" t="inlineStr">
        <is>
          <t>086390</t>
        </is>
      </c>
      <c r="C191" t="inlineStr">
        <is>
          <t>유니테스트</t>
        </is>
      </c>
      <c r="D191" t="inlineStr">
        <is>
          <t>코스닥</t>
        </is>
      </c>
      <c r="E191" s="11" t="n">
        <v>7.47</v>
      </c>
      <c r="F191" s="11" t="n">
        <v>29.34</v>
      </c>
      <c r="G191" s="8">
        <f>IF(F191=0,0,E191/F191)</f>
        <v/>
      </c>
      <c r="H191" s="11" t="n">
        <v>0.19</v>
      </c>
      <c r="I191" s="8" t="n">
        <v>-0.0488</v>
      </c>
      <c r="J191" s="8" t="n">
        <v>-0.0137</v>
      </c>
    </row>
    <row r="192">
      <c r="A192" t="inlineStr">
        <is>
          <t>2025-07-22</t>
        </is>
      </c>
      <c r="B192" t="inlineStr">
        <is>
          <t>064550</t>
        </is>
      </c>
      <c r="C192" t="inlineStr">
        <is>
          <t>바이오니아</t>
        </is>
      </c>
      <c r="D192" t="inlineStr">
        <is>
          <t>코스닥</t>
        </is>
      </c>
      <c r="E192" s="11" t="n">
        <v>3.06</v>
      </c>
      <c r="F192" s="11" t="n">
        <v>11.48</v>
      </c>
      <c r="G192" s="8">
        <f>IF(F192=0,0,E192/F192)</f>
        <v/>
      </c>
      <c r="H192" s="11" t="n">
        <v>0</v>
      </c>
      <c r="I192" s="8" t="n">
        <v>-0.06519999999999999</v>
      </c>
      <c r="J192" s="8" t="n">
        <v>-0.0677</v>
      </c>
    </row>
    <row r="193">
      <c r="A193" t="inlineStr">
        <is>
          <t>2025-07-21</t>
        </is>
      </c>
      <c r="B193" t="inlineStr">
        <is>
          <t>388050</t>
        </is>
      </c>
      <c r="C193" t="inlineStr">
        <is>
          <t>지투파워</t>
        </is>
      </c>
      <c r="D193" t="inlineStr">
        <is>
          <t>코스닥</t>
        </is>
      </c>
      <c r="E193" s="11" t="n">
        <v>3.84</v>
      </c>
      <c r="F193" s="11" t="n">
        <v>41.75</v>
      </c>
      <c r="G193" s="8">
        <f>IF(F193=0,0,E193/F193)</f>
        <v/>
      </c>
      <c r="H193" s="11" t="n">
        <v>0</v>
      </c>
      <c r="I193" s="8" t="n">
        <v>0.0187</v>
      </c>
      <c r="J193" s="8" t="n">
        <v>-0.0359</v>
      </c>
    </row>
    <row r="194">
      <c r="A194" t="inlineStr">
        <is>
          <t>2025-07-17</t>
        </is>
      </c>
      <c r="B194" t="inlineStr">
        <is>
          <t>008060</t>
        </is>
      </c>
      <c r="C194" t="inlineStr">
        <is>
          <t>대덕</t>
        </is>
      </c>
      <c r="D194" t="inlineStr">
        <is>
          <t>코스피</t>
        </is>
      </c>
      <c r="E194" s="11" t="n">
        <v>3.79</v>
      </c>
      <c r="F194" s="11" t="n">
        <v>12.63</v>
      </c>
      <c r="G194" s="8">
        <f>IF(F194=0,0,E194/F194)</f>
        <v/>
      </c>
      <c r="H194" s="11" t="n">
        <v>0.14</v>
      </c>
      <c r="I194" s="8" t="n">
        <v>-0.0191</v>
      </c>
      <c r="J194" s="8" t="n">
        <v>-0.0123</v>
      </c>
    </row>
    <row r="195">
      <c r="A195" t="inlineStr">
        <is>
          <t>2025-07-16</t>
        </is>
      </c>
      <c r="B195" t="inlineStr">
        <is>
          <t>362320</t>
        </is>
      </c>
      <c r="C195" t="inlineStr">
        <is>
          <t>청담글로벌</t>
        </is>
      </c>
      <c r="D195" t="inlineStr">
        <is>
          <t>코스닥</t>
        </is>
      </c>
      <c r="E195" s="11" t="n">
        <v>10.41</v>
      </c>
      <c r="F195" s="11" t="n">
        <v>17.31</v>
      </c>
      <c r="G195" s="8">
        <f>IF(F195=0,0,E195/F195)</f>
        <v/>
      </c>
      <c r="H195" s="11" t="n">
        <v>0</v>
      </c>
      <c r="I195" s="8" t="n">
        <v>0.1225</v>
      </c>
      <c r="J195" s="8" t="n">
        <v>-0.0377</v>
      </c>
    </row>
    <row r="196">
      <c r="A196" t="inlineStr">
        <is>
          <t>2025-07-15</t>
        </is>
      </c>
      <c r="B196" t="inlineStr">
        <is>
          <t>041830</t>
        </is>
      </c>
      <c r="C196" t="inlineStr">
        <is>
          <t>인바디</t>
        </is>
      </c>
      <c r="D196" t="inlineStr">
        <is>
          <t>코스닥</t>
        </is>
      </c>
      <c r="E196" s="11" t="n">
        <v>3.01</v>
      </c>
      <c r="F196" s="11" t="n">
        <v>8.76</v>
      </c>
      <c r="G196" s="8">
        <f>IF(F196=0,0,E196/F196)</f>
        <v/>
      </c>
      <c r="H196" s="11" t="n">
        <v>0</v>
      </c>
      <c r="I196" s="8" t="n">
        <v>0.0239</v>
      </c>
      <c r="J196" s="8" t="n">
        <v>0.233</v>
      </c>
    </row>
    <row r="197">
      <c r="A197" t="inlineStr">
        <is>
          <t>2025-07-11</t>
        </is>
      </c>
      <c r="B197" t="inlineStr">
        <is>
          <t>017390</t>
        </is>
      </c>
      <c r="C197" t="inlineStr">
        <is>
          <t>서울가스</t>
        </is>
      </c>
      <c r="D197" t="inlineStr">
        <is>
          <t>코스피</t>
        </is>
      </c>
      <c r="E197" s="11" t="n">
        <v>5.79</v>
      </c>
      <c r="F197" s="11" t="n">
        <v>15.14</v>
      </c>
      <c r="G197" s="8">
        <f>IF(F197=0,0,E197/F197)</f>
        <v/>
      </c>
      <c r="H197" s="11" t="n">
        <v>0.2</v>
      </c>
      <c r="I197" s="8" t="n">
        <v>-0.0684</v>
      </c>
      <c r="J197" s="8" t="n">
        <v>-0.0659</v>
      </c>
    </row>
    <row r="198">
      <c r="A198" t="inlineStr">
        <is>
          <t>2025-07-11</t>
        </is>
      </c>
      <c r="B198" t="inlineStr">
        <is>
          <t>295310</t>
        </is>
      </c>
      <c r="C198" t="inlineStr">
        <is>
          <t>에이치브이엠</t>
        </is>
      </c>
      <c r="D198" t="inlineStr">
        <is>
          <t>코스닥</t>
        </is>
      </c>
      <c r="E198" s="11" t="n">
        <v>3.75</v>
      </c>
      <c r="F198" s="11" t="n">
        <v>62.92</v>
      </c>
      <c r="G198" s="8">
        <f>IF(F198=0,0,E198/F198)</f>
        <v/>
      </c>
      <c r="H198" s="11" t="n">
        <v>0.04</v>
      </c>
      <c r="I198" s="8" t="n">
        <v>0.1003</v>
      </c>
      <c r="J198" s="8" t="n">
        <v>0.0667</v>
      </c>
    </row>
    <row r="199">
      <c r="A199" t="inlineStr">
        <is>
          <t>2025-07-11</t>
        </is>
      </c>
      <c r="B199" t="inlineStr">
        <is>
          <t>205100</t>
        </is>
      </c>
      <c r="C199" t="inlineStr">
        <is>
          <t>엑셈</t>
        </is>
      </c>
      <c r="D199" t="inlineStr">
        <is>
          <t>코스닥</t>
        </is>
      </c>
      <c r="E199" s="11" t="n">
        <v>3.3</v>
      </c>
      <c r="F199" s="11" t="n">
        <v>26.08</v>
      </c>
      <c r="G199" s="8">
        <f>IF(F199=0,0,E199/F199)</f>
        <v/>
      </c>
      <c r="H199" s="11" t="n">
        <v>0</v>
      </c>
      <c r="I199" s="8" t="n">
        <v>-0.0284</v>
      </c>
      <c r="J199" s="8" t="n">
        <v>-0.0593</v>
      </c>
    </row>
    <row r="200">
      <c r="A200" t="inlineStr">
        <is>
          <t>2025-07-10</t>
        </is>
      </c>
      <c r="B200" t="inlineStr">
        <is>
          <t>416180</t>
        </is>
      </c>
      <c r="C200" t="inlineStr">
        <is>
          <t>신성에스티</t>
        </is>
      </c>
      <c r="D200" t="inlineStr">
        <is>
          <t>코스닥</t>
        </is>
      </c>
      <c r="E200" s="11" t="n">
        <v>6.12</v>
      </c>
      <c r="F200" s="11" t="n">
        <v>20.05</v>
      </c>
      <c r="G200" s="8">
        <f>IF(F200=0,0,E200/F200)</f>
        <v/>
      </c>
      <c r="H200" s="11" t="n">
        <v>0.04</v>
      </c>
      <c r="I200" s="8" t="n">
        <v>0.09520000000000001</v>
      </c>
      <c r="J200" s="8" t="n">
        <v>0.2515</v>
      </c>
    </row>
    <row r="201">
      <c r="A201" t="inlineStr">
        <is>
          <t>2025-07-10</t>
        </is>
      </c>
      <c r="B201" t="inlineStr">
        <is>
          <t>066620</t>
        </is>
      </c>
      <c r="C201" t="inlineStr">
        <is>
          <t>국보디자인</t>
        </is>
      </c>
      <c r="D201" t="inlineStr">
        <is>
          <t>코스닥</t>
        </is>
      </c>
      <c r="E201" s="11" t="n">
        <v>3.94</v>
      </c>
      <c r="F201" s="11" t="n">
        <v>3.55</v>
      </c>
      <c r="G201" s="8">
        <f>IF(F201=0,0,E201/F201)</f>
        <v/>
      </c>
      <c r="H201" s="11" t="n">
        <v>0</v>
      </c>
      <c r="I201" s="8" t="n">
        <v>-0.0188</v>
      </c>
      <c r="J201" s="8" t="n">
        <v>-0.0327</v>
      </c>
    </row>
    <row r="202">
      <c r="A202" t="inlineStr">
        <is>
          <t>2025-07-09</t>
        </is>
      </c>
      <c r="B202" t="inlineStr">
        <is>
          <t>073110</t>
        </is>
      </c>
      <c r="C202" t="inlineStr">
        <is>
          <t>엘엠에스</t>
        </is>
      </c>
      <c r="D202" t="inlineStr">
        <is>
          <t>코스닥</t>
        </is>
      </c>
      <c r="E202" s="11" t="n">
        <v>3.22</v>
      </c>
      <c r="F202" s="11" t="n">
        <v>0.65</v>
      </c>
      <c r="G202" s="8">
        <f>IF(F202=0,0,E202/F202)</f>
        <v/>
      </c>
      <c r="H202" s="11" t="n">
        <v>0</v>
      </c>
      <c r="I202" s="8" t="n">
        <v>-0.0212</v>
      </c>
      <c r="J202" s="8" t="n">
        <v>-0.0357</v>
      </c>
    </row>
    <row r="203">
      <c r="A203" t="inlineStr">
        <is>
          <t>2025-07-08</t>
        </is>
      </c>
      <c r="B203" t="inlineStr">
        <is>
          <t>402030</t>
        </is>
      </c>
      <c r="C203" t="inlineStr">
        <is>
          <t>코난테크놀로지</t>
        </is>
      </c>
      <c r="D203" t="inlineStr">
        <is>
          <t>코스닥</t>
        </is>
      </c>
      <c r="E203" s="11" t="n">
        <v>8.369999999999999</v>
      </c>
      <c r="F203" s="11" t="n">
        <v>146.45</v>
      </c>
      <c r="G203" s="8">
        <f>IF(F203=0,0,E203/F203)</f>
        <v/>
      </c>
      <c r="H203" s="11" t="n">
        <v>0</v>
      </c>
      <c r="I203" s="8" t="n">
        <v>-0.0397</v>
      </c>
      <c r="J203" s="8" t="n">
        <v>-0.3137</v>
      </c>
    </row>
    <row r="204">
      <c r="A204" t="inlineStr">
        <is>
          <t>2025-07-02</t>
        </is>
      </c>
      <c r="B204" t="inlineStr">
        <is>
          <t>023410</t>
        </is>
      </c>
      <c r="C204" t="inlineStr">
        <is>
          <t>유진기업</t>
        </is>
      </c>
      <c r="D204" t="inlineStr">
        <is>
          <t>코스닥</t>
        </is>
      </c>
      <c r="E204" s="11" t="n">
        <v>3.74</v>
      </c>
      <c r="F204" s="11" t="n">
        <v>14.06</v>
      </c>
      <c r="G204" s="8">
        <f>IF(F204=0,0,E204/F204)</f>
        <v/>
      </c>
      <c r="H204" s="11" t="n">
        <v>0</v>
      </c>
      <c r="I204" s="8" t="n">
        <v>-0.017</v>
      </c>
      <c r="J204" s="8" t="n">
        <v>-0.0462</v>
      </c>
    </row>
    <row r="205">
      <c r="A205" t="inlineStr">
        <is>
          <t>2025-07-02</t>
        </is>
      </c>
      <c r="B205" t="inlineStr">
        <is>
          <t>025820</t>
        </is>
      </c>
      <c r="C205" t="inlineStr">
        <is>
          <t>이구산업</t>
        </is>
      </c>
      <c r="D205" t="inlineStr">
        <is>
          <t>코스피</t>
        </is>
      </c>
      <c r="E205" s="11" t="n">
        <v>7.11</v>
      </c>
      <c r="F205" s="11" t="n">
        <v>27.47</v>
      </c>
      <c r="G205" s="8">
        <f>IF(F205=0,0,E205/F205)</f>
        <v/>
      </c>
      <c r="H205" s="11" t="n">
        <v>0.19</v>
      </c>
      <c r="I205" s="8" t="n">
        <v>0.0469</v>
      </c>
      <c r="J205" s="8" t="n">
        <v>-0.0086</v>
      </c>
    </row>
    <row r="206">
      <c r="A206" t="inlineStr">
        <is>
          <t>2025-06-27</t>
        </is>
      </c>
      <c r="B206" t="inlineStr">
        <is>
          <t>090710</t>
        </is>
      </c>
      <c r="C206" t="inlineStr">
        <is>
          <t>휴림로봇</t>
        </is>
      </c>
      <c r="D206" t="inlineStr">
        <is>
          <t>코스닥</t>
        </is>
      </c>
      <c r="E206" s="11" t="n">
        <v>12.48</v>
      </c>
      <c r="F206" s="11" t="n">
        <v>182.9</v>
      </c>
      <c r="G206" s="8">
        <f>IF(F206=0,0,E206/F206)</f>
        <v/>
      </c>
      <c r="H206" s="11" t="n">
        <v>0</v>
      </c>
      <c r="I206" s="8" t="n">
        <v>-0.0588</v>
      </c>
      <c r="J206" s="8" t="n">
        <v>-0.1457</v>
      </c>
    </row>
    <row r="207">
      <c r="A207" t="inlineStr">
        <is>
          <t>2025-06-25</t>
        </is>
      </c>
      <c r="B207" t="inlineStr">
        <is>
          <t>241790</t>
        </is>
      </c>
      <c r="C207" t="inlineStr">
        <is>
          <t>티이엠씨씨엔에스</t>
        </is>
      </c>
      <c r="D207" t="inlineStr">
        <is>
          <t>코스닥</t>
        </is>
      </c>
      <c r="E207" s="11" t="n">
        <v>3.41</v>
      </c>
      <c r="F207" s="11" t="n">
        <v>2.11</v>
      </c>
      <c r="G207" s="8">
        <f>IF(F207=0,0,E207/F207)</f>
        <v/>
      </c>
      <c r="H207" s="11" t="n">
        <v>0</v>
      </c>
      <c r="I207" s="8" t="n">
        <v>0.0385</v>
      </c>
      <c r="J207" s="8" t="n">
        <v>0.0236</v>
      </c>
    </row>
    <row r="208">
      <c r="A208" t="inlineStr">
        <is>
          <t>2025-06-23</t>
        </is>
      </c>
      <c r="B208" t="inlineStr">
        <is>
          <t>458870</t>
        </is>
      </c>
      <c r="C208" t="inlineStr">
        <is>
          <t>씨어스</t>
        </is>
      </c>
      <c r="D208" t="inlineStr">
        <is>
          <t>코스닥</t>
        </is>
      </c>
      <c r="E208" s="11" t="n">
        <v>10.25</v>
      </c>
      <c r="F208" s="11" t="n">
        <v>18.88</v>
      </c>
      <c r="G208" s="8">
        <f>IF(F208=0,0,E208/F208)</f>
        <v/>
      </c>
      <c r="H208" s="11" t="n">
        <v>0</v>
      </c>
      <c r="I208" s="8" t="n">
        <v>0.08989999999999999</v>
      </c>
      <c r="J208" s="8" t="n">
        <v>0.3932</v>
      </c>
    </row>
    <row r="209">
      <c r="A209" t="inlineStr">
        <is>
          <t>2025-06-23</t>
        </is>
      </c>
      <c r="B209" t="inlineStr">
        <is>
          <t>460940</t>
        </is>
      </c>
      <c r="C209" t="inlineStr">
        <is>
          <t>피앤에스로보틱스</t>
        </is>
      </c>
      <c r="D209" t="inlineStr">
        <is>
          <t>코스닥</t>
        </is>
      </c>
      <c r="E209" s="11" t="n">
        <v>3.29</v>
      </c>
      <c r="F209" s="11" t="n">
        <v>15.36</v>
      </c>
      <c r="G209" s="8">
        <f>IF(F209=0,0,E209/F209)</f>
        <v/>
      </c>
      <c r="H209" s="11" t="n">
        <v>0</v>
      </c>
      <c r="I209" s="8" t="n">
        <v>-0.1048</v>
      </c>
      <c r="J209" s="8" t="n">
        <v>-0.2168</v>
      </c>
    </row>
    <row r="210">
      <c r="A210" t="inlineStr">
        <is>
          <t>2025-06-20</t>
        </is>
      </c>
      <c r="B210" t="inlineStr">
        <is>
          <t>027050</t>
        </is>
      </c>
      <c r="C210" t="inlineStr">
        <is>
          <t>코리아나</t>
        </is>
      </c>
      <c r="D210" t="inlineStr">
        <is>
          <t>코스닥</t>
        </is>
      </c>
      <c r="E210" s="11" t="n">
        <v>4.43</v>
      </c>
      <c r="F210" s="11" t="n">
        <v>3.37</v>
      </c>
      <c r="G210" s="8">
        <f>IF(F210=0,0,E210/F210)</f>
        <v/>
      </c>
      <c r="H210" s="11" t="n">
        <v>0</v>
      </c>
      <c r="I210" s="8" t="n">
        <v>-0.0775</v>
      </c>
      <c r="J210" s="8" t="n">
        <v>0.0181</v>
      </c>
    </row>
    <row r="211">
      <c r="A211" t="inlineStr">
        <is>
          <t>2025-06-18</t>
        </is>
      </c>
      <c r="B211" t="inlineStr">
        <is>
          <t>069510</t>
        </is>
      </c>
      <c r="C211" t="inlineStr">
        <is>
          <t>에스텍</t>
        </is>
      </c>
      <c r="D211" t="inlineStr">
        <is>
          <t>코스닥</t>
        </is>
      </c>
      <c r="E211" s="11" t="n">
        <v>4.74</v>
      </c>
      <c r="F211" s="11" t="n">
        <v>5.82</v>
      </c>
      <c r="G211" s="8">
        <f>IF(F211=0,0,E211/F211)</f>
        <v/>
      </c>
      <c r="H211" s="11" t="n">
        <v>0</v>
      </c>
      <c r="I211" s="8" t="n">
        <v>-0.0241</v>
      </c>
      <c r="J211" s="8" t="n">
        <v>-0.0567</v>
      </c>
    </row>
    <row r="212">
      <c r="A212" t="inlineStr">
        <is>
          <t>2025-06-17</t>
        </is>
      </c>
      <c r="B212" t="inlineStr">
        <is>
          <t>286940</t>
        </is>
      </c>
      <c r="C212" t="inlineStr">
        <is>
          <t>롯데이노베이트</t>
        </is>
      </c>
      <c r="D212" t="inlineStr">
        <is>
          <t>코스피</t>
        </is>
      </c>
      <c r="E212" s="11" t="n">
        <v>9.84</v>
      </c>
      <c r="F212" s="11" t="n">
        <v>11.9</v>
      </c>
      <c r="G212" s="8">
        <f>IF(F212=0,0,E212/F212)</f>
        <v/>
      </c>
      <c r="H212" s="11" t="n">
        <v>0.18</v>
      </c>
      <c r="I212" s="8" t="n">
        <v>0.0644</v>
      </c>
      <c r="J212" s="8" t="n">
        <v>-0.1169</v>
      </c>
    </row>
    <row r="213">
      <c r="A213" t="inlineStr">
        <is>
          <t>2025-06-16</t>
        </is>
      </c>
      <c r="B213" t="inlineStr">
        <is>
          <t>018000</t>
        </is>
      </c>
      <c r="C213" t="inlineStr">
        <is>
          <t>유니슨</t>
        </is>
      </c>
      <c r="D213" t="inlineStr">
        <is>
          <t>코스닥</t>
        </is>
      </c>
      <c r="E213" s="11" t="n">
        <v>9.4</v>
      </c>
      <c r="F213" s="11" t="n">
        <v>68.42</v>
      </c>
      <c r="G213" s="8">
        <f>IF(F213=0,0,E213/F213)</f>
        <v/>
      </c>
      <c r="H213" s="11" t="n">
        <v>0</v>
      </c>
      <c r="I213" s="8" t="n">
        <v>-0.2351</v>
      </c>
      <c r="J213" s="8" t="n">
        <v>-0.2557</v>
      </c>
    </row>
    <row r="214">
      <c r="A214" t="inlineStr">
        <is>
          <t>2025-06-16</t>
        </is>
      </c>
      <c r="B214" t="inlineStr">
        <is>
          <t>241520</t>
        </is>
      </c>
      <c r="C214" t="inlineStr">
        <is>
          <t>DSC인베스트먼트</t>
        </is>
      </c>
      <c r="D214" t="inlineStr">
        <is>
          <t>코스닥</t>
        </is>
      </c>
      <c r="E214" s="11" t="n">
        <v>9.52</v>
      </c>
      <c r="F214" s="11" t="n">
        <v>233.09</v>
      </c>
      <c r="G214" s="8">
        <f>IF(F214=0,0,E214/F214)</f>
        <v/>
      </c>
      <c r="H214" s="11" t="n">
        <v>0</v>
      </c>
      <c r="I214" s="8" t="n">
        <v>-0.01</v>
      </c>
      <c r="J214" s="8" t="n">
        <v>-0.09279999999999999</v>
      </c>
    </row>
    <row r="215">
      <c r="A215" t="inlineStr">
        <is>
          <t>2025-06-12</t>
        </is>
      </c>
      <c r="B215" t="inlineStr">
        <is>
          <t>034950</t>
        </is>
      </c>
      <c r="C215" t="inlineStr">
        <is>
          <t>한국기업평가</t>
        </is>
      </c>
      <c r="D215" t="inlineStr">
        <is>
          <t>코스닥</t>
        </is>
      </c>
      <c r="E215" s="11" t="n">
        <v>5.15</v>
      </c>
      <c r="F215" s="11" t="n">
        <v>3.41</v>
      </c>
      <c r="G215" s="8">
        <f>IF(F215=0,0,E215/F215)</f>
        <v/>
      </c>
      <c r="H215" s="11" t="n">
        <v>0.2</v>
      </c>
      <c r="I215" s="8" t="n">
        <v>-0.0395</v>
      </c>
      <c r="J215" s="8" t="n">
        <v>-0.0409</v>
      </c>
    </row>
    <row r="216">
      <c r="A216" t="inlineStr">
        <is>
          <t>2025-06-11</t>
        </is>
      </c>
      <c r="B216" t="inlineStr">
        <is>
          <t>094480</t>
        </is>
      </c>
      <c r="C216" t="inlineStr">
        <is>
          <t>갤럭시아머니트리</t>
        </is>
      </c>
      <c r="D216" t="inlineStr">
        <is>
          <t>코스닥</t>
        </is>
      </c>
      <c r="E216" s="11" t="n">
        <v>7.78</v>
      </c>
      <c r="F216" s="11" t="n">
        <v>163.7</v>
      </c>
      <c r="G216" s="8">
        <f>IF(F216=0,0,E216/F216)</f>
        <v/>
      </c>
      <c r="H216" s="11" t="n">
        <v>0</v>
      </c>
      <c r="I216" s="8" t="n">
        <v>0.1468</v>
      </c>
      <c r="J216" s="8" t="n">
        <v>-0.017</v>
      </c>
    </row>
    <row r="217">
      <c r="A217" t="inlineStr">
        <is>
          <t>2025-06-11</t>
        </is>
      </c>
      <c r="B217" t="inlineStr">
        <is>
          <t>476060</t>
        </is>
      </c>
      <c r="C217" t="inlineStr">
        <is>
          <t>온코닉테라퓨틱스</t>
        </is>
      </c>
      <c r="D217" t="inlineStr">
        <is>
          <t>코스닥</t>
        </is>
      </c>
      <c r="E217" s="11" t="n">
        <v>11.83</v>
      </c>
      <c r="F217" s="11" t="n">
        <v>59.49</v>
      </c>
      <c r="G217" s="8">
        <f>IF(F217=0,0,E217/F217)</f>
        <v/>
      </c>
      <c r="H217" s="11" t="n">
        <v>0</v>
      </c>
      <c r="I217" s="8" t="n">
        <v>0.0298</v>
      </c>
      <c r="J217" s="8" t="n">
        <v>-0.0102</v>
      </c>
    </row>
    <row r="218">
      <c r="A218" t="inlineStr">
        <is>
          <t>2025-06-10</t>
        </is>
      </c>
      <c r="B218" t="inlineStr">
        <is>
          <t>064260</t>
        </is>
      </c>
      <c r="C218" t="inlineStr">
        <is>
          <t>다날</t>
        </is>
      </c>
      <c r="D218" t="inlineStr">
        <is>
          <t>코스닥</t>
        </is>
      </c>
      <c r="E218" s="11" t="n">
        <v>9.76</v>
      </c>
      <c r="F218" s="11" t="n">
        <v>121.81</v>
      </c>
      <c r="G218" s="8">
        <f>IF(F218=0,0,E218/F218)</f>
        <v/>
      </c>
      <c r="H218" s="11" t="n">
        <v>0</v>
      </c>
      <c r="I218" s="8" t="n">
        <v>-0.0092</v>
      </c>
      <c r="J218" s="8" t="n">
        <v>0.4798</v>
      </c>
    </row>
    <row r="219">
      <c r="A219" t="inlineStr">
        <is>
          <t>2025-06-09</t>
        </is>
      </c>
      <c r="B219" t="inlineStr">
        <is>
          <t>060250</t>
        </is>
      </c>
      <c r="C219" t="inlineStr">
        <is>
          <t>NHN KCP</t>
        </is>
      </c>
      <c r="D219" t="inlineStr">
        <is>
          <t>코스닥</t>
        </is>
      </c>
      <c r="E219" s="11" t="n">
        <v>4.54</v>
      </c>
      <c r="F219" s="11" t="n">
        <v>4.27</v>
      </c>
      <c r="G219" s="8">
        <f>IF(F219=0,0,E219/F219)</f>
        <v/>
      </c>
      <c r="H219" s="11" t="n">
        <v>0.07000000000000001</v>
      </c>
      <c r="I219" s="8" t="n">
        <v>-0.0421</v>
      </c>
      <c r="J219" s="8" t="n">
        <v>0.1324</v>
      </c>
    </row>
    <row r="220">
      <c r="A220" t="inlineStr">
        <is>
          <t>2025-06-09</t>
        </is>
      </c>
      <c r="B220" t="inlineStr">
        <is>
          <t>214180</t>
        </is>
      </c>
      <c r="C220" t="inlineStr">
        <is>
          <t>헥토이노베이션</t>
        </is>
      </c>
      <c r="D220" t="inlineStr">
        <is>
          <t>코스닥</t>
        </is>
      </c>
      <c r="E220" s="11" t="n">
        <v>3.28</v>
      </c>
      <c r="F220" s="11" t="n">
        <v>7.76</v>
      </c>
      <c r="G220" s="8">
        <f>IF(F220=0,0,E220/F220)</f>
        <v/>
      </c>
      <c r="H220" s="11" t="n">
        <v>0</v>
      </c>
      <c r="I220" s="8" t="n">
        <v>0.0353</v>
      </c>
      <c r="J220" s="8" t="n">
        <v>-0.0312</v>
      </c>
    </row>
    <row r="221">
      <c r="A221" t="inlineStr">
        <is>
          <t>2025-06-09</t>
        </is>
      </c>
      <c r="B221" t="inlineStr">
        <is>
          <t>014710</t>
        </is>
      </c>
      <c r="C221" t="inlineStr">
        <is>
          <t>사조씨푸드</t>
        </is>
      </c>
      <c r="D221" t="inlineStr">
        <is>
          <t>코스피</t>
        </is>
      </c>
      <c r="E221" s="11" t="n">
        <v>4.02</v>
      </c>
      <c r="F221" s="11" t="n">
        <v>20.92</v>
      </c>
      <c r="G221" s="8">
        <f>IF(F221=0,0,E221/F221)</f>
        <v/>
      </c>
      <c r="H221" s="11" t="n">
        <v>0.16</v>
      </c>
      <c r="I221" s="8" t="n">
        <v>0.1583</v>
      </c>
      <c r="J221" s="8" t="n">
        <v>0.2781</v>
      </c>
    </row>
    <row r="222">
      <c r="A222" t="inlineStr">
        <is>
          <t>2025-06-09</t>
        </is>
      </c>
      <c r="B222" t="inlineStr">
        <is>
          <t>388720</t>
        </is>
      </c>
      <c r="C222" t="inlineStr">
        <is>
          <t>유일로보틱스</t>
        </is>
      </c>
      <c r="D222" t="inlineStr">
        <is>
          <t>코스닥</t>
        </is>
      </c>
      <c r="E222" s="11" t="n">
        <v>4.13</v>
      </c>
      <c r="F222" s="11" t="n">
        <v>79.41</v>
      </c>
      <c r="G222" s="8">
        <f>IF(F222=0,0,E222/F222)</f>
        <v/>
      </c>
      <c r="H222" s="11" t="n">
        <v>0</v>
      </c>
      <c r="I222" s="8" t="n">
        <v>-0.0383</v>
      </c>
      <c r="J222" s="8" t="n">
        <v>-0.0594</v>
      </c>
    </row>
    <row r="223">
      <c r="A223" t="inlineStr">
        <is>
          <t>2025-06-05</t>
        </is>
      </c>
      <c r="B223" t="inlineStr">
        <is>
          <t>100790</t>
        </is>
      </c>
      <c r="C223" t="inlineStr">
        <is>
          <t>미래에셋벤처투자</t>
        </is>
      </c>
      <c r="D223" t="inlineStr">
        <is>
          <t>코스닥</t>
        </is>
      </c>
      <c r="E223" s="11" t="n">
        <v>6.58</v>
      </c>
      <c r="F223" s="11" t="n">
        <v>11.61</v>
      </c>
      <c r="G223" s="8">
        <f>IF(F223=0,0,E223/F223)</f>
        <v/>
      </c>
      <c r="H223" s="11" t="n">
        <v>0</v>
      </c>
      <c r="I223" s="8" t="n">
        <v>-0.0747</v>
      </c>
      <c r="J223" s="8" t="n">
        <v>-0.1214</v>
      </c>
    </row>
    <row r="224">
      <c r="A224" t="inlineStr">
        <is>
          <t>2025-06-05</t>
        </is>
      </c>
      <c r="B224" t="inlineStr">
        <is>
          <t>006805</t>
        </is>
      </c>
      <c r="C224" t="inlineStr">
        <is>
          <t>미래에셋증권우</t>
        </is>
      </c>
      <c r="D224" t="inlineStr">
        <is>
          <t>코스피</t>
        </is>
      </c>
      <c r="E224" s="11" t="n">
        <v>4.1</v>
      </c>
      <c r="F224" s="11" t="n">
        <v>11.24</v>
      </c>
      <c r="G224" s="8">
        <f>IF(F224=0,0,E224/F224)</f>
        <v/>
      </c>
      <c r="H224" s="11" t="n">
        <v>0</v>
      </c>
      <c r="I224" s="8" t="n">
        <v>0.1407</v>
      </c>
      <c r="J224" s="8" t="n">
        <v>0.1632</v>
      </c>
    </row>
    <row r="225">
      <c r="A225" t="inlineStr">
        <is>
          <t>2025-06-05</t>
        </is>
      </c>
      <c r="B225" t="inlineStr">
        <is>
          <t>042420</t>
        </is>
      </c>
      <c r="C225" t="inlineStr">
        <is>
          <t>네오위즈홀딩스</t>
        </is>
      </c>
      <c r="D225" t="inlineStr">
        <is>
          <t>코스닥</t>
        </is>
      </c>
      <c r="E225" s="11" t="n">
        <v>3.32</v>
      </c>
      <c r="F225" s="11" t="n">
        <v>2.14</v>
      </c>
      <c r="G225" s="8">
        <f>IF(F225=0,0,E225/F225)</f>
        <v/>
      </c>
      <c r="H225" s="11" t="n">
        <v>0</v>
      </c>
      <c r="I225" s="8" t="n">
        <v>0.1101</v>
      </c>
      <c r="J225" s="8" t="n">
        <v>0.0249</v>
      </c>
    </row>
    <row r="226">
      <c r="A226" t="inlineStr">
        <is>
          <t>2025-06-05</t>
        </is>
      </c>
      <c r="B226" t="inlineStr">
        <is>
          <t>013990</t>
        </is>
      </c>
      <c r="C226" t="inlineStr">
        <is>
          <t>아가방컴퍼니</t>
        </is>
      </c>
      <c r="D226" t="inlineStr">
        <is>
          <t>코스닥</t>
        </is>
      </c>
      <c r="E226" s="11" t="n">
        <v>4.11</v>
      </c>
      <c r="F226" s="11" t="n">
        <v>51.28</v>
      </c>
      <c r="G226" s="8">
        <f>IF(F226=0,0,E226/F226)</f>
        <v/>
      </c>
      <c r="H226" s="11" t="n">
        <v>0</v>
      </c>
      <c r="I226" s="8" t="n">
        <v>-0.0135</v>
      </c>
      <c r="J226" s="8" t="n">
        <v>0.0217</v>
      </c>
    </row>
    <row r="227">
      <c r="A227" t="inlineStr">
        <is>
          <t>2025-05-29</t>
        </is>
      </c>
      <c r="B227" t="inlineStr">
        <is>
          <t>108670</t>
        </is>
      </c>
      <c r="C227" t="inlineStr">
        <is>
          <t>LX하우시스</t>
        </is>
      </c>
      <c r="D227" t="inlineStr">
        <is>
          <t>코스피</t>
        </is>
      </c>
      <c r="E227" s="11" t="n">
        <v>4.7</v>
      </c>
      <c r="F227" s="11" t="n">
        <v>3.76</v>
      </c>
      <c r="G227" s="8">
        <f>IF(F227=0,0,E227/F227)</f>
        <v/>
      </c>
      <c r="H227" s="11" t="n">
        <v>0.17</v>
      </c>
      <c r="I227" s="8" t="n">
        <v>-0.0071</v>
      </c>
      <c r="J227" s="8" t="n">
        <v>-0.07779999999999999</v>
      </c>
    </row>
    <row r="228">
      <c r="A228" t="inlineStr">
        <is>
          <t>2025-05-29</t>
        </is>
      </c>
      <c r="B228" t="inlineStr">
        <is>
          <t>001750</t>
        </is>
      </c>
      <c r="C228" t="inlineStr">
        <is>
          <t>한양증권</t>
        </is>
      </c>
      <c r="D228" t="inlineStr">
        <is>
          <t>코스피</t>
        </is>
      </c>
      <c r="E228" s="11" t="n">
        <v>3.7</v>
      </c>
      <c r="F228" s="11" t="n">
        <v>3.59</v>
      </c>
      <c r="G228" s="8">
        <f>IF(F228=0,0,E228/F228)</f>
        <v/>
      </c>
      <c r="H228" s="11" t="n">
        <v>0</v>
      </c>
      <c r="I228" s="8" t="n">
        <v>0.025</v>
      </c>
      <c r="J228" s="8" t="n">
        <v>0.0367</v>
      </c>
    </row>
    <row r="229">
      <c r="A229" t="inlineStr">
        <is>
          <t>2025-05-26</t>
        </is>
      </c>
      <c r="B229" t="inlineStr">
        <is>
          <t>460930</t>
        </is>
      </c>
      <c r="C229" t="inlineStr">
        <is>
          <t>현대힘스</t>
        </is>
      </c>
      <c r="D229" t="inlineStr">
        <is>
          <t>코스닥</t>
        </is>
      </c>
      <c r="E229" s="11" t="n">
        <v>11.32</v>
      </c>
      <c r="F229" s="11" t="n">
        <v>67.40000000000001</v>
      </c>
      <c r="G229" s="8">
        <f>IF(F229=0,0,E229/F229)</f>
        <v/>
      </c>
      <c r="H229" s="11" t="n">
        <v>0</v>
      </c>
      <c r="I229" s="8" t="n">
        <v>-0.0552</v>
      </c>
      <c r="J229" s="8" t="n">
        <v>-0.2014</v>
      </c>
    </row>
    <row r="230">
      <c r="A230" t="inlineStr">
        <is>
          <t>2025-05-26</t>
        </is>
      </c>
      <c r="B230" t="inlineStr">
        <is>
          <t>089010</t>
        </is>
      </c>
      <c r="C230" t="inlineStr">
        <is>
          <t>켐트로닉스</t>
        </is>
      </c>
      <c r="D230" t="inlineStr">
        <is>
          <t>코스닥</t>
        </is>
      </c>
      <c r="E230" s="11" t="n">
        <v>3.18</v>
      </c>
      <c r="F230" s="11" t="n">
        <v>28.75</v>
      </c>
      <c r="G230" s="8">
        <f>IF(F230=0,0,E230/F230)</f>
        <v/>
      </c>
      <c r="H230" s="11" t="n">
        <v>0</v>
      </c>
      <c r="I230" s="8" t="n">
        <v>-0.0607</v>
      </c>
      <c r="J230" s="8" t="n">
        <v>-0.0598</v>
      </c>
    </row>
    <row r="231">
      <c r="A231" t="inlineStr">
        <is>
          <t>2025-05-22</t>
        </is>
      </c>
      <c r="B231" t="inlineStr">
        <is>
          <t>251120</t>
        </is>
      </c>
      <c r="C231" t="inlineStr">
        <is>
          <t>바이오에프디엔씨</t>
        </is>
      </c>
      <c r="D231" t="inlineStr">
        <is>
          <t>코스닥</t>
        </is>
      </c>
      <c r="E231" s="11" t="n">
        <v>5.99</v>
      </c>
      <c r="F231" s="11" t="n">
        <v>11.15</v>
      </c>
      <c r="G231" s="8">
        <f>IF(F231=0,0,E231/F231)</f>
        <v/>
      </c>
      <c r="H231" s="11" t="n">
        <v>0</v>
      </c>
      <c r="I231" s="8" t="n">
        <v>0.0223</v>
      </c>
      <c r="J231" s="8" t="n">
        <v>0.2479</v>
      </c>
    </row>
    <row r="232">
      <c r="A232" t="inlineStr">
        <is>
          <t>2025-05-20</t>
        </is>
      </c>
      <c r="B232" t="inlineStr">
        <is>
          <t>210540</t>
        </is>
      </c>
      <c r="C232" t="inlineStr">
        <is>
          <t>디와이파워</t>
        </is>
      </c>
      <c r="D232" t="inlineStr">
        <is>
          <t>코스피</t>
        </is>
      </c>
      <c r="E232" s="11" t="n">
        <v>3.37</v>
      </c>
      <c r="F232" s="11" t="n">
        <v>1.98</v>
      </c>
      <c r="G232" s="8">
        <f>IF(F232=0,0,E232/F232)</f>
        <v/>
      </c>
      <c r="H232" s="11" t="n">
        <v>0.01</v>
      </c>
      <c r="I232" s="8" t="n">
        <v>-0.0306</v>
      </c>
      <c r="J232" s="8" t="n">
        <v>-0.0238</v>
      </c>
    </row>
    <row r="233">
      <c r="A233" t="inlineStr">
        <is>
          <t>2025-05-20</t>
        </is>
      </c>
      <c r="B233" t="inlineStr">
        <is>
          <t>036220</t>
        </is>
      </c>
      <c r="C233" t="inlineStr">
        <is>
          <t>오상헬스케어</t>
        </is>
      </c>
      <c r="D233" t="inlineStr">
        <is>
          <t>코스닥</t>
        </is>
      </c>
      <c r="E233" s="11" t="n">
        <v>3.46</v>
      </c>
      <c r="F233" s="11" t="n">
        <v>5.34</v>
      </c>
      <c r="G233" s="8">
        <f>IF(F233=0,0,E233/F233)</f>
        <v/>
      </c>
      <c r="H233" s="11" t="n">
        <v>0</v>
      </c>
      <c r="I233" s="8" t="n">
        <v>0.2196</v>
      </c>
      <c r="J233" s="8" t="n">
        <v>0.3154</v>
      </c>
    </row>
    <row r="234">
      <c r="A234" t="inlineStr">
        <is>
          <t>2025-05-19</t>
        </is>
      </c>
      <c r="B234" t="inlineStr">
        <is>
          <t>065710</t>
        </is>
      </c>
      <c r="C234" t="inlineStr">
        <is>
          <t>서호전기</t>
        </is>
      </c>
      <c r="D234" t="inlineStr">
        <is>
          <t>코스닥</t>
        </is>
      </c>
      <c r="E234" s="11" t="n">
        <v>5.16</v>
      </c>
      <c r="F234" s="11" t="n">
        <v>11.71</v>
      </c>
      <c r="G234" s="8">
        <f>IF(F234=0,0,E234/F234)</f>
        <v/>
      </c>
      <c r="H234" s="11" t="n">
        <v>0.23</v>
      </c>
      <c r="I234" s="8" t="n">
        <v>0.1163</v>
      </c>
      <c r="J234" s="8" t="n">
        <v>0.1432</v>
      </c>
    </row>
    <row r="235">
      <c r="A235" t="inlineStr">
        <is>
          <t>2025-05-19</t>
        </is>
      </c>
      <c r="B235" t="inlineStr">
        <is>
          <t>044490</t>
        </is>
      </c>
      <c r="C235" t="inlineStr">
        <is>
          <t>태웅</t>
        </is>
      </c>
      <c r="D235" t="inlineStr">
        <is>
          <t>코스닥</t>
        </is>
      </c>
      <c r="E235" s="11" t="n">
        <v>3.68</v>
      </c>
      <c r="F235" s="11" t="n">
        <v>15.18</v>
      </c>
      <c r="G235" s="8">
        <f>IF(F235=0,0,E235/F235)</f>
        <v/>
      </c>
      <c r="H235" s="11" t="n">
        <v>0</v>
      </c>
      <c r="I235" s="8" t="n">
        <v>0.1942</v>
      </c>
      <c r="J235" s="8" t="n">
        <v>0.997</v>
      </c>
    </row>
    <row r="236">
      <c r="A236" t="inlineStr">
        <is>
          <t>2025-05-15</t>
        </is>
      </c>
      <c r="B236" t="inlineStr">
        <is>
          <t>456010</t>
        </is>
      </c>
      <c r="C236" t="inlineStr">
        <is>
          <t>아이씨티케이</t>
        </is>
      </c>
      <c r="D236" t="inlineStr">
        <is>
          <t>코스닥</t>
        </is>
      </c>
      <c r="E236" s="11" t="n">
        <v>9.460000000000001</v>
      </c>
      <c r="F236" s="11" t="n">
        <v>385.96</v>
      </c>
      <c r="G236" s="8">
        <f>IF(F236=0,0,E236/F236)</f>
        <v/>
      </c>
      <c r="H236" s="11" t="n">
        <v>0</v>
      </c>
      <c r="I236" s="8" t="n">
        <v>0.109</v>
      </c>
      <c r="J236" s="8" t="n">
        <v>-0.0747</v>
      </c>
    </row>
    <row r="237">
      <c r="A237" t="inlineStr">
        <is>
          <t>2025-05-14</t>
        </is>
      </c>
      <c r="B237" t="inlineStr">
        <is>
          <t>017940</t>
        </is>
      </c>
      <c r="C237" t="inlineStr">
        <is>
          <t>E1</t>
        </is>
      </c>
      <c r="D237" t="inlineStr">
        <is>
          <t>코스피</t>
        </is>
      </c>
      <c r="E237" s="11" t="n">
        <v>3.53</v>
      </c>
      <c r="F237" s="11" t="n">
        <v>4.56</v>
      </c>
      <c r="G237" s="8">
        <f>IF(F237=0,0,E237/F237)</f>
        <v/>
      </c>
      <c r="H237" s="11" t="n">
        <v>0.05</v>
      </c>
      <c r="I237" s="8" t="n">
        <v>0.0536</v>
      </c>
      <c r="J237" s="8" t="n">
        <v>0.1219</v>
      </c>
    </row>
    <row r="238">
      <c r="A238" t="inlineStr">
        <is>
          <t>2025-05-08</t>
        </is>
      </c>
      <c r="B238" t="inlineStr">
        <is>
          <t>950170</t>
        </is>
      </c>
      <c r="C238" t="inlineStr">
        <is>
          <t>JTC</t>
        </is>
      </c>
      <c r="D238" t="inlineStr">
        <is>
          <t>코스닥</t>
        </is>
      </c>
      <c r="E238" s="11" t="n">
        <v>8.720000000000001</v>
      </c>
      <c r="F238" s="11" t="n">
        <v>6.31</v>
      </c>
      <c r="G238" s="8">
        <f>IF(F238=0,0,E238/F238)</f>
        <v/>
      </c>
      <c r="H238" s="11" t="n">
        <v>0</v>
      </c>
      <c r="I238" s="8" t="n">
        <v>-0.0012</v>
      </c>
      <c r="J238" s="8" t="n">
        <v>-0.228</v>
      </c>
    </row>
    <row r="239">
      <c r="A239" t="inlineStr">
        <is>
          <t>2025-04-30</t>
        </is>
      </c>
      <c r="B239" t="inlineStr">
        <is>
          <t>095570</t>
        </is>
      </c>
      <c r="C239" t="inlineStr">
        <is>
          <t>AJ네트웍스</t>
        </is>
      </c>
      <c r="D239" t="inlineStr">
        <is>
          <t>코스피</t>
        </is>
      </c>
      <c r="E239" s="11" t="n">
        <v>17.27</v>
      </c>
      <c r="F239" s="11" t="n">
        <v>4.44</v>
      </c>
      <c r="G239" s="8">
        <f>IF(F239=0,0,E239/F239)</f>
        <v/>
      </c>
      <c r="H239" s="11" t="n">
        <v>0.29</v>
      </c>
      <c r="I239" s="8" t="n">
        <v>0.0063</v>
      </c>
      <c r="J239" s="8" t="n">
        <v>0.0228</v>
      </c>
    </row>
    <row r="240">
      <c r="A240" t="inlineStr">
        <is>
          <t>2025-04-30</t>
        </is>
      </c>
      <c r="B240" t="inlineStr">
        <is>
          <t>085620</t>
        </is>
      </c>
      <c r="C240" t="inlineStr">
        <is>
          <t>미래에셋생명</t>
        </is>
      </c>
      <c r="D240" t="inlineStr">
        <is>
          <t>코스피</t>
        </is>
      </c>
      <c r="E240" s="11" t="n">
        <v>3.08</v>
      </c>
      <c r="F240" s="11" t="n">
        <v>1.66</v>
      </c>
      <c r="G240" s="8">
        <f>IF(F240=0,0,E240/F240)</f>
        <v/>
      </c>
      <c r="H240" s="11" t="n">
        <v>0.22</v>
      </c>
      <c r="I240" s="8" t="n">
        <v>0.0009</v>
      </c>
      <c r="J240" s="8" t="n">
        <v>-0.055</v>
      </c>
    </row>
    <row r="241">
      <c r="A241" t="inlineStr">
        <is>
          <t>2025-04-28</t>
        </is>
      </c>
      <c r="B241" t="inlineStr">
        <is>
          <t>160190</t>
        </is>
      </c>
      <c r="C241" t="inlineStr">
        <is>
          <t>하이젠알앤엠</t>
        </is>
      </c>
      <c r="D241" t="inlineStr">
        <is>
          <t>코스닥</t>
        </is>
      </c>
      <c r="E241" s="11" t="n">
        <v>3.06</v>
      </c>
      <c r="F241" s="11" t="n">
        <v>51.76</v>
      </c>
      <c r="G241" s="8">
        <f>IF(F241=0,0,E241/F241)</f>
        <v/>
      </c>
      <c r="H241" s="11" t="n">
        <v>0</v>
      </c>
      <c r="I241" s="8" t="n">
        <v>0.0679</v>
      </c>
      <c r="J241" s="8" t="n">
        <v>0.1014</v>
      </c>
    </row>
    <row r="242">
      <c r="A242" t="inlineStr">
        <is>
          <t>2025-04-28</t>
        </is>
      </c>
      <c r="B242" t="inlineStr">
        <is>
          <t>432720</t>
        </is>
      </c>
      <c r="C242" t="inlineStr">
        <is>
          <t>퀄리타스반도체</t>
        </is>
      </c>
      <c r="D242" t="inlineStr">
        <is>
          <t>코스닥</t>
        </is>
      </c>
      <c r="E242" s="11" t="n">
        <v>4.82</v>
      </c>
      <c r="F242" s="11" t="n">
        <v>44.41</v>
      </c>
      <c r="G242" s="8">
        <f>IF(F242=0,0,E242/F242)</f>
        <v/>
      </c>
      <c r="H242" s="11" t="n">
        <v>0.13</v>
      </c>
      <c r="I242" s="8" t="n">
        <v>-0.027</v>
      </c>
      <c r="J242" s="8" t="n">
        <v>-0.09089999999999999</v>
      </c>
    </row>
    <row r="243">
      <c r="A243" t="inlineStr">
        <is>
          <t>2025-04-25</t>
        </is>
      </c>
      <c r="B243" t="inlineStr">
        <is>
          <t>319400</t>
        </is>
      </c>
      <c r="C243" t="inlineStr">
        <is>
          <t>현대무벡스</t>
        </is>
      </c>
      <c r="D243" t="inlineStr">
        <is>
          <t>코스닥</t>
        </is>
      </c>
      <c r="E243" s="11" t="n">
        <v>4.36</v>
      </c>
      <c r="F243" s="11" t="n">
        <v>19.73</v>
      </c>
      <c r="G243" s="8">
        <f>IF(F243=0,0,E243/F243)</f>
        <v/>
      </c>
      <c r="H243" s="11" t="n">
        <v>0</v>
      </c>
      <c r="I243" s="8" t="n">
        <v>-0.0168</v>
      </c>
      <c r="J243" s="8" t="n">
        <v>-0.0974</v>
      </c>
    </row>
    <row r="244">
      <c r="A244" t="inlineStr">
        <is>
          <t>2025-04-24</t>
        </is>
      </c>
      <c r="B244" t="inlineStr">
        <is>
          <t>060370</t>
        </is>
      </c>
      <c r="C244" t="inlineStr">
        <is>
          <t>LS마린솔루션</t>
        </is>
      </c>
      <c r="D244" t="inlineStr">
        <is>
          <t>코스닥</t>
        </is>
      </c>
      <c r="E244" s="11" t="n">
        <v>12.37</v>
      </c>
      <c r="F244" s="11" t="n">
        <v>11.77</v>
      </c>
      <c r="G244" s="8">
        <f>IF(F244=0,0,E244/F244)</f>
        <v/>
      </c>
      <c r="H244" s="11" t="n">
        <v>0</v>
      </c>
      <c r="I244" s="8" t="n">
        <v>0.0015</v>
      </c>
      <c r="J244" s="8" t="n">
        <v>0.0183</v>
      </c>
    </row>
    <row r="245">
      <c r="A245" t="inlineStr">
        <is>
          <t>2025-04-11</t>
        </is>
      </c>
      <c r="B245" t="inlineStr">
        <is>
          <t>402030</t>
        </is>
      </c>
      <c r="C245" t="inlineStr">
        <is>
          <t>코난테크놀로지</t>
        </is>
      </c>
      <c r="D245" t="inlineStr">
        <is>
          <t>코스닥</t>
        </is>
      </c>
      <c r="E245" s="11" t="n">
        <v>4.1</v>
      </c>
      <c r="F245" s="11" t="n">
        <v>40.23</v>
      </c>
      <c r="G245" s="8">
        <f>IF(F245=0,0,E245/F245)</f>
        <v/>
      </c>
      <c r="H245" s="11" t="n">
        <v>0</v>
      </c>
      <c r="I245" s="8" t="n">
        <v>-0.0606</v>
      </c>
      <c r="J245" s="8" t="n">
        <v>-0.0339</v>
      </c>
    </row>
    <row r="246">
      <c r="A246" t="inlineStr">
        <is>
          <t>2025-04-11</t>
        </is>
      </c>
      <c r="B246" t="inlineStr">
        <is>
          <t>389470</t>
        </is>
      </c>
      <c r="C246" t="inlineStr">
        <is>
          <t>인벤티지랩</t>
        </is>
      </c>
      <c r="D246" t="inlineStr">
        <is>
          <t>코스닥</t>
        </is>
      </c>
      <c r="E246" s="11" t="n">
        <v>4.08</v>
      </c>
      <c r="F246" s="11" t="n">
        <v>12.04</v>
      </c>
      <c r="G246" s="8">
        <f>IF(F246=0,0,E246/F246)</f>
        <v/>
      </c>
      <c r="H246" s="11" t="n">
        <v>0</v>
      </c>
      <c r="I246" s="8" t="n">
        <v>0.1763</v>
      </c>
      <c r="J246" s="8" t="n">
        <v>1.3348</v>
      </c>
    </row>
    <row r="247">
      <c r="A247" t="inlineStr">
        <is>
          <t>2025-04-02</t>
        </is>
      </c>
      <c r="B247" t="inlineStr">
        <is>
          <t>236200</t>
        </is>
      </c>
      <c r="C247" t="inlineStr">
        <is>
          <t>슈프리마</t>
        </is>
      </c>
      <c r="D247" t="inlineStr">
        <is>
          <t>코스닥</t>
        </is>
      </c>
      <c r="E247" s="11" t="n">
        <v>7.63</v>
      </c>
      <c r="F247" s="11" t="n">
        <v>11.29</v>
      </c>
      <c r="G247" s="8">
        <f>IF(F247=0,0,E247/F247)</f>
        <v/>
      </c>
      <c r="H247" s="11" t="n">
        <v>0</v>
      </c>
      <c r="I247" s="8" t="n">
        <v>-0.0385</v>
      </c>
      <c r="J247" s="8" t="n">
        <v>0.0723</v>
      </c>
    </row>
    <row r="248">
      <c r="A248" t="inlineStr">
        <is>
          <t>2025-03-21</t>
        </is>
      </c>
      <c r="B248" t="inlineStr">
        <is>
          <t>009410</t>
        </is>
      </c>
      <c r="C248" t="inlineStr">
        <is>
          <t>태영건설</t>
        </is>
      </c>
      <c r="D248" t="inlineStr">
        <is>
          <t>코스피</t>
        </is>
      </c>
      <c r="E248" s="11" t="n">
        <v>3.72</v>
      </c>
      <c r="F248" s="11" t="n">
        <v>12.24</v>
      </c>
      <c r="G248" s="8">
        <f>IF(F248=0,0,E248/F248)</f>
        <v/>
      </c>
      <c r="H248" s="11" t="n">
        <v>0</v>
      </c>
      <c r="I248" s="8" t="n">
        <v>-0.1475</v>
      </c>
      <c r="J248" s="8" t="n">
        <v>-0.1849</v>
      </c>
    </row>
    <row r="249">
      <c r="A249" t="inlineStr">
        <is>
          <t>2025-03-18</t>
        </is>
      </c>
      <c r="B249" t="inlineStr">
        <is>
          <t>394800</t>
        </is>
      </c>
      <c r="C249" t="inlineStr">
        <is>
          <t>쓰리빌리언</t>
        </is>
      </c>
      <c r="D249" t="inlineStr">
        <is>
          <t>코스닥</t>
        </is>
      </c>
      <c r="E249" s="11" t="n">
        <v>6.18</v>
      </c>
      <c r="F249" s="11" t="n">
        <v>326.87</v>
      </c>
      <c r="G249" s="8">
        <f>IF(F249=0,0,E249/F249)</f>
        <v/>
      </c>
      <c r="H249" s="11" t="n">
        <v>0</v>
      </c>
      <c r="I249" s="8" t="n">
        <v>0.02</v>
      </c>
      <c r="J249" s="8" t="n">
        <v>0.1522</v>
      </c>
    </row>
    <row r="250">
      <c r="A250" t="inlineStr">
        <is>
          <t>2025-03-13</t>
        </is>
      </c>
      <c r="B250" t="inlineStr">
        <is>
          <t>102940</t>
        </is>
      </c>
      <c r="C250" t="inlineStr">
        <is>
          <t>코오롱생명과학</t>
        </is>
      </c>
      <c r="D250" t="inlineStr">
        <is>
          <t>코스닥</t>
        </is>
      </c>
      <c r="E250" s="11" t="n">
        <v>6.38</v>
      </c>
      <c r="F250" s="11" t="n">
        <v>22.34</v>
      </c>
      <c r="G250" s="8">
        <f>IF(F250=0,0,E250/F250)</f>
        <v/>
      </c>
      <c r="H250" s="11" t="n">
        <v>0</v>
      </c>
      <c r="I250" s="8" t="n">
        <v>-0.1645</v>
      </c>
      <c r="J250" s="8" t="n">
        <v>-0.1811</v>
      </c>
    </row>
    <row r="251">
      <c r="A251" t="inlineStr">
        <is>
          <t>2025-02-21</t>
        </is>
      </c>
      <c r="B251" t="inlineStr">
        <is>
          <t>085660</t>
        </is>
      </c>
      <c r="C251" t="inlineStr">
        <is>
          <t>차바이오텍</t>
        </is>
      </c>
      <c r="D251" t="inlineStr">
        <is>
          <t>코스닥</t>
        </is>
      </c>
      <c r="E251" s="11" t="n">
        <v>4.34</v>
      </c>
      <c r="F251" s="11" t="n">
        <v>26.24</v>
      </c>
      <c r="G251" s="8">
        <f>IF(F251=0,0,E251/F251)</f>
        <v/>
      </c>
      <c r="H251" s="11" t="n">
        <v>0.06</v>
      </c>
      <c r="I251" s="8" t="n">
        <v>0.0018</v>
      </c>
      <c r="J251" s="8" t="n">
        <v>0</v>
      </c>
    </row>
    <row r="252">
      <c r="A252" t="inlineStr">
        <is>
          <t>2025-02-20</t>
        </is>
      </c>
      <c r="B252" t="inlineStr">
        <is>
          <t>419530</t>
        </is>
      </c>
      <c r="C252" t="inlineStr">
        <is>
          <t>SAMG엔터</t>
        </is>
      </c>
      <c r="D252" t="inlineStr">
        <is>
          <t>코스닥</t>
        </is>
      </c>
      <c r="E252" s="11" t="n">
        <v>5.73</v>
      </c>
      <c r="F252" s="11" t="n">
        <v>88.72</v>
      </c>
      <c r="G252" s="8">
        <f>IF(F252=0,0,E252/F252)</f>
        <v/>
      </c>
      <c r="H252" s="11" t="n">
        <v>0</v>
      </c>
      <c r="I252" s="8" t="n">
        <v>0.1232</v>
      </c>
      <c r="J252" s="8" t="n">
        <v>0.3394</v>
      </c>
    </row>
    <row r="253">
      <c r="A253" t="inlineStr">
        <is>
          <t>2025-02-17</t>
        </is>
      </c>
      <c r="B253" t="inlineStr">
        <is>
          <t>388720</t>
        </is>
      </c>
      <c r="C253" t="inlineStr">
        <is>
          <t>유일로보틱스</t>
        </is>
      </c>
      <c r="D253" t="inlineStr">
        <is>
          <t>코스닥</t>
        </is>
      </c>
      <c r="E253" s="11" t="n">
        <v>10.28</v>
      </c>
      <c r="F253" s="11" t="n">
        <v>267.47</v>
      </c>
      <c r="G253" s="8">
        <f>IF(F253=0,0,E253/F253)</f>
        <v/>
      </c>
      <c r="H253" s="11" t="n">
        <v>0</v>
      </c>
      <c r="I253" s="8" t="n">
        <v>0.2568</v>
      </c>
      <c r="J253" s="8" t="n">
        <v>0.25</v>
      </c>
    </row>
    <row r="254">
      <c r="A254" t="inlineStr">
        <is>
          <t>2025-02-14</t>
        </is>
      </c>
      <c r="B254" t="inlineStr">
        <is>
          <t>007810</t>
        </is>
      </c>
      <c r="C254" t="inlineStr">
        <is>
          <t>코리아써키트</t>
        </is>
      </c>
      <c r="D254" t="inlineStr">
        <is>
          <t>코스피</t>
        </is>
      </c>
      <c r="E254" s="11" t="n">
        <v>3.65</v>
      </c>
      <c r="F254" s="11" t="n">
        <v>13.31</v>
      </c>
      <c r="G254" s="8">
        <f>IF(F254=0,0,E254/F254)</f>
        <v/>
      </c>
      <c r="H254" s="11" t="n">
        <v>0.07000000000000001</v>
      </c>
      <c r="I254" s="8" t="n">
        <v>-0.1244</v>
      </c>
      <c r="J254" s="8" t="n">
        <v>-0.1534</v>
      </c>
    </row>
    <row r="255">
      <c r="A255" t="inlineStr">
        <is>
          <t>2025-02-14</t>
        </is>
      </c>
      <c r="B255" t="inlineStr">
        <is>
          <t>067630</t>
        </is>
      </c>
      <c r="C255" t="inlineStr">
        <is>
          <t>HLB생명과학</t>
        </is>
      </c>
      <c r="D255" t="inlineStr">
        <is>
          <t>코스닥</t>
        </is>
      </c>
      <c r="E255" s="11" t="n">
        <v>5.18</v>
      </c>
      <c r="F255" s="11" t="n">
        <v>48.76</v>
      </c>
      <c r="G255" s="8">
        <f>IF(F255=0,0,E255/F255)</f>
        <v/>
      </c>
      <c r="H255" s="11" t="n">
        <v>0.21</v>
      </c>
      <c r="I255" s="8" t="n">
        <v>-0.0131</v>
      </c>
      <c r="J255" s="8" t="n">
        <v>-0.09470000000000001</v>
      </c>
    </row>
    <row r="256">
      <c r="A256" t="inlineStr">
        <is>
          <t>2025-02-13</t>
        </is>
      </c>
      <c r="B256" t="inlineStr">
        <is>
          <t>347700</t>
        </is>
      </c>
      <c r="C256" t="inlineStr">
        <is>
          <t>스피어</t>
        </is>
      </c>
      <c r="D256" t="inlineStr">
        <is>
          <t>코스닥</t>
        </is>
      </c>
      <c r="E256" s="11" t="n">
        <v>8.19</v>
      </c>
      <c r="F256" s="11" t="n">
        <v>36.26</v>
      </c>
      <c r="G256" s="8">
        <f>IF(F256=0,0,E256/F256)</f>
        <v/>
      </c>
      <c r="H256" s="11" t="n">
        <v>0</v>
      </c>
      <c r="I256" s="8" t="n">
        <v>-0.0738</v>
      </c>
      <c r="J256" s="8" t="n">
        <v>-0.055</v>
      </c>
    </row>
    <row r="257">
      <c r="A257" t="inlineStr">
        <is>
          <t>2025-02-12</t>
        </is>
      </c>
      <c r="B257" t="inlineStr">
        <is>
          <t>475150</t>
        </is>
      </c>
      <c r="C257" t="inlineStr">
        <is>
          <t>SK이터닉스</t>
        </is>
      </c>
      <c r="D257" t="inlineStr">
        <is>
          <t>코스피</t>
        </is>
      </c>
      <c r="E257" s="11" t="n">
        <v>3.68</v>
      </c>
      <c r="F257" s="11" t="n">
        <v>56.61</v>
      </c>
      <c r="G257" s="8">
        <f>IF(F257=0,0,E257/F257)</f>
        <v/>
      </c>
      <c r="H257" s="11" t="n">
        <v>0.04</v>
      </c>
      <c r="I257" s="8" t="n">
        <v>0.1547</v>
      </c>
      <c r="J257" s="8" t="n">
        <v>0.0883</v>
      </c>
    </row>
    <row r="258">
      <c r="A258" t="inlineStr">
        <is>
          <t>2025-02-06</t>
        </is>
      </c>
      <c r="B258" t="inlineStr">
        <is>
          <t>418470</t>
        </is>
      </c>
      <c r="C258" t="inlineStr">
        <is>
          <t>KT밀리의서재</t>
        </is>
      </c>
      <c r="D258" t="inlineStr">
        <is>
          <t>코스닥</t>
        </is>
      </c>
      <c r="E258" s="11" t="n">
        <v>8.94</v>
      </c>
      <c r="F258" s="11" t="n">
        <v>14.38</v>
      </c>
      <c r="G258" s="8">
        <f>IF(F258=0,0,E258/F258)</f>
        <v/>
      </c>
      <c r="H258" s="11" t="n">
        <v>0</v>
      </c>
      <c r="I258" s="8" t="n">
        <v>-0.1174</v>
      </c>
      <c r="J258" s="8" t="n">
        <v>-0.1912</v>
      </c>
    </row>
    <row r="259">
      <c r="A259" t="inlineStr">
        <is>
          <t>2025-02-04</t>
        </is>
      </c>
      <c r="B259" t="inlineStr">
        <is>
          <t>086710</t>
        </is>
      </c>
      <c r="C259" t="inlineStr">
        <is>
          <t>선진뷰티사이언스</t>
        </is>
      </c>
      <c r="D259" t="inlineStr">
        <is>
          <t>코스닥</t>
        </is>
      </c>
      <c r="E259" s="11" t="n">
        <v>3.11</v>
      </c>
      <c r="F259" s="11" t="n">
        <v>7.95</v>
      </c>
      <c r="G259" s="8">
        <f>IF(F259=0,0,E259/F259)</f>
        <v/>
      </c>
      <c r="H259" s="11" t="n">
        <v>0</v>
      </c>
      <c r="I259" s="8" t="n">
        <v>0.0029</v>
      </c>
      <c r="J259" s="8" t="n">
        <v>0.1098</v>
      </c>
    </row>
    <row r="260">
      <c r="A260" t="inlineStr">
        <is>
          <t>2025-01-31</t>
        </is>
      </c>
      <c r="B260" t="inlineStr">
        <is>
          <t>041020</t>
        </is>
      </c>
      <c r="C260" t="inlineStr">
        <is>
          <t>폴라리스오피스</t>
        </is>
      </c>
      <c r="D260" t="inlineStr">
        <is>
          <t>코스닥</t>
        </is>
      </c>
      <c r="E260" s="11" t="n">
        <v>3.33</v>
      </c>
      <c r="F260" s="11" t="n">
        <v>62.14</v>
      </c>
      <c r="G260" s="8">
        <f>IF(F260=0,0,E260/F260)</f>
        <v/>
      </c>
      <c r="H260" s="11" t="n">
        <v>0</v>
      </c>
      <c r="I260" s="8" t="n">
        <v>-0.0288</v>
      </c>
      <c r="J260" s="8" t="n">
        <v>-0.0014</v>
      </c>
    </row>
    <row r="261">
      <c r="A261" t="inlineStr">
        <is>
          <t>2025-01-24</t>
        </is>
      </c>
      <c r="B261" t="inlineStr">
        <is>
          <t>255220</t>
        </is>
      </c>
      <c r="C261" t="inlineStr">
        <is>
          <t>SG</t>
        </is>
      </c>
      <c r="D261" t="inlineStr">
        <is>
          <t>코스닥</t>
        </is>
      </c>
      <c r="E261" s="11" t="n">
        <v>5.27</v>
      </c>
      <c r="F261" s="11" t="n">
        <v>134.18</v>
      </c>
      <c r="G261" s="8">
        <f>IF(F261=0,0,E261/F261)</f>
        <v/>
      </c>
      <c r="H261" s="11" t="n">
        <v>0</v>
      </c>
      <c r="I261" s="8" t="n">
        <v>0.0021</v>
      </c>
      <c r="J261" s="8" t="n">
        <v>-0.0843</v>
      </c>
    </row>
    <row r="262">
      <c r="A262" t="inlineStr">
        <is>
          <t>2025-01-24</t>
        </is>
      </c>
      <c r="B262" t="inlineStr">
        <is>
          <t>090360</t>
        </is>
      </c>
      <c r="C262" t="inlineStr">
        <is>
          <t>로보스타</t>
        </is>
      </c>
      <c r="D262" t="inlineStr">
        <is>
          <t>코스닥</t>
        </is>
      </c>
      <c r="E262" s="11" t="n">
        <v>5.36</v>
      </c>
      <c r="F262" s="11" t="n">
        <v>124.59</v>
      </c>
      <c r="G262" s="8">
        <f>IF(F262=0,0,E262/F262)</f>
        <v/>
      </c>
      <c r="H262" s="11" t="n">
        <v>0</v>
      </c>
      <c r="I262" s="8" t="n">
        <v>-0.0185</v>
      </c>
      <c r="J262" s="8" t="n">
        <v>-0.1373</v>
      </c>
    </row>
    <row r="263">
      <c r="A263" t="inlineStr">
        <is>
          <t>2025-01-22</t>
        </is>
      </c>
      <c r="B263" t="inlineStr">
        <is>
          <t>274090</t>
        </is>
      </c>
      <c r="C263" t="inlineStr">
        <is>
          <t>켄코아에어로스페이스</t>
        </is>
      </c>
      <c r="D263" t="inlineStr">
        <is>
          <t>코스닥</t>
        </is>
      </c>
      <c r="E263" s="11" t="n">
        <v>3.51</v>
      </c>
      <c r="F263" s="11" t="n">
        <v>20.11</v>
      </c>
      <c r="G263" s="8">
        <f>IF(F263=0,0,E263/F263)</f>
        <v/>
      </c>
      <c r="H263" s="11" t="n">
        <v>0</v>
      </c>
      <c r="I263" s="8" t="n">
        <v>0.2927</v>
      </c>
      <c r="J263" s="8" t="n">
        <v>0.1534</v>
      </c>
    </row>
    <row r="264">
      <c r="A264" t="inlineStr">
        <is>
          <t>2025-01-17</t>
        </is>
      </c>
      <c r="B264" t="inlineStr">
        <is>
          <t>130660</t>
        </is>
      </c>
      <c r="C264" t="inlineStr">
        <is>
          <t>한전산업</t>
        </is>
      </c>
      <c r="D264" t="inlineStr">
        <is>
          <t>코스피</t>
        </is>
      </c>
      <c r="E264" s="11" t="n">
        <v>4.72</v>
      </c>
      <c r="F264" s="11" t="n">
        <v>31.92</v>
      </c>
      <c r="G264" s="8">
        <f>IF(F264=0,0,E264/F264)</f>
        <v/>
      </c>
      <c r="H264" s="11" t="n">
        <v>0.16</v>
      </c>
      <c r="I264" s="8" t="n">
        <v>0.0539</v>
      </c>
      <c r="J264" s="8" t="n">
        <v>-0.0603</v>
      </c>
    </row>
    <row r="265">
      <c r="A265" t="inlineStr">
        <is>
          <t>2025-01-14</t>
        </is>
      </c>
      <c r="B265" t="inlineStr">
        <is>
          <t>199820</t>
        </is>
      </c>
      <c r="C265" t="inlineStr">
        <is>
          <t>제일일렉트릭</t>
        </is>
      </c>
      <c r="D265" t="inlineStr">
        <is>
          <t>코스닥</t>
        </is>
      </c>
      <c r="E265" s="11" t="n">
        <v>5.69</v>
      </c>
      <c r="F265" s="11" t="n">
        <v>248.47</v>
      </c>
      <c r="G265" s="8">
        <f>IF(F265=0,0,E265/F265)</f>
        <v/>
      </c>
      <c r="H265" s="11" t="n">
        <v>0</v>
      </c>
      <c r="I265" s="8" t="n">
        <v>0.0541</v>
      </c>
      <c r="J265" s="8" t="n">
        <v>-0.0764</v>
      </c>
    </row>
    <row r="266">
      <c r="A266" t="inlineStr">
        <is>
          <t>2025-01-10</t>
        </is>
      </c>
      <c r="B266" t="inlineStr">
        <is>
          <t>123330</t>
        </is>
      </c>
      <c r="C266" t="inlineStr">
        <is>
          <t>제닉</t>
        </is>
      </c>
      <c r="D266" t="inlineStr">
        <is>
          <t>코스닥</t>
        </is>
      </c>
      <c r="E266" s="11" t="n">
        <v>3.46</v>
      </c>
      <c r="F266" s="11" t="n">
        <v>38.94</v>
      </c>
      <c r="G266" s="8">
        <f>IF(F266=0,0,E266/F266)</f>
        <v/>
      </c>
      <c r="H266" s="11" t="n">
        <v>0.27</v>
      </c>
      <c r="I266" s="8" t="n">
        <v>-0.0621</v>
      </c>
      <c r="J266" s="8" t="n">
        <v>-0.2291</v>
      </c>
    </row>
    <row r="267">
      <c r="A267" t="inlineStr">
        <is>
          <t>2025-01-07</t>
        </is>
      </c>
      <c r="B267" t="inlineStr">
        <is>
          <t>086390</t>
        </is>
      </c>
      <c r="C267" t="inlineStr">
        <is>
          <t>유니테스트</t>
        </is>
      </c>
      <c r="D267" t="inlineStr">
        <is>
          <t>코스닥</t>
        </is>
      </c>
      <c r="E267" s="11" t="n">
        <v>5.03</v>
      </c>
      <c r="F267" s="11" t="n">
        <v>8.92</v>
      </c>
      <c r="G267" s="8">
        <f>IF(F267=0,0,E267/F267)</f>
        <v/>
      </c>
      <c r="H267" s="11" t="n">
        <v>0</v>
      </c>
      <c r="I267" s="8" t="n">
        <v>0.1742</v>
      </c>
      <c r="J267" s="8" t="n">
        <v>0.1435</v>
      </c>
    </row>
    <row r="268">
      <c r="A268" t="inlineStr">
        <is>
          <t>2025-01-06</t>
        </is>
      </c>
      <c r="B268" t="inlineStr">
        <is>
          <t>123860</t>
        </is>
      </c>
      <c r="C268" t="inlineStr">
        <is>
          <t>아나패스</t>
        </is>
      </c>
      <c r="D268" t="inlineStr">
        <is>
          <t>코스닥</t>
        </is>
      </c>
      <c r="E268" s="11" t="n">
        <v>4.7</v>
      </c>
      <c r="F268" s="11" t="n">
        <v>9.06</v>
      </c>
      <c r="G268" s="8">
        <f>IF(F268=0,0,E268/F268)</f>
        <v/>
      </c>
      <c r="H268" s="11" t="n">
        <v>0.01</v>
      </c>
      <c r="I268" s="8" t="n">
        <v>-0.0412</v>
      </c>
      <c r="J268" s="8" t="n">
        <v>-0.0517</v>
      </c>
    </row>
    <row r="269">
      <c r="A269" t="inlineStr">
        <is>
          <t>2024-12-27</t>
        </is>
      </c>
      <c r="B269" t="inlineStr">
        <is>
          <t>464080</t>
        </is>
      </c>
      <c r="C269" t="inlineStr">
        <is>
          <t>에스오에스랩</t>
        </is>
      </c>
      <c r="D269" t="inlineStr">
        <is>
          <t>코스닥</t>
        </is>
      </c>
      <c r="E269" s="11" t="n">
        <v>19.81</v>
      </c>
      <c r="F269" s="11" t="n">
        <v>875.35</v>
      </c>
      <c r="G269" s="8">
        <f>IF(F269=0,0,E269/F269)</f>
        <v/>
      </c>
      <c r="H269" s="11" t="n">
        <v>0</v>
      </c>
      <c r="I269" s="8" t="n">
        <v>0.0333</v>
      </c>
      <c r="J269" s="8" t="n">
        <v>-0.08749999999999999</v>
      </c>
    </row>
    <row r="270">
      <c r="A270" t="inlineStr">
        <is>
          <t>2024-12-26</t>
        </is>
      </c>
      <c r="B270" t="inlineStr">
        <is>
          <t>160190</t>
        </is>
      </c>
      <c r="C270" t="inlineStr">
        <is>
          <t>하이젠알앤엠</t>
        </is>
      </c>
      <c r="D270" t="inlineStr">
        <is>
          <t>코스닥</t>
        </is>
      </c>
      <c r="E270" s="11" t="n">
        <v>10.34</v>
      </c>
      <c r="F270" s="11" t="n">
        <v>103.07</v>
      </c>
      <c r="G270" s="8">
        <f>IF(F270=0,0,E270/F270)</f>
        <v/>
      </c>
      <c r="H270" s="11" t="n">
        <v>0</v>
      </c>
      <c r="I270" s="8" t="n">
        <v>0.3339</v>
      </c>
      <c r="J270" s="8" t="n">
        <v>1.9881</v>
      </c>
    </row>
    <row r="271">
      <c r="A271" t="inlineStr">
        <is>
          <t>2024-12-24</t>
        </is>
      </c>
      <c r="B271" t="inlineStr">
        <is>
          <t>179900</t>
        </is>
      </c>
      <c r="C271" t="inlineStr">
        <is>
          <t>유티아이</t>
        </is>
      </c>
      <c r="D271" t="inlineStr">
        <is>
          <t>코스닥</t>
        </is>
      </c>
      <c r="E271" s="11" t="n">
        <v>4.14</v>
      </c>
      <c r="F271" s="11" t="n">
        <v>19.93</v>
      </c>
      <c r="G271" s="8">
        <f>IF(F271=0,0,E271/F271)</f>
        <v/>
      </c>
      <c r="H271" s="11" t="n">
        <v>0.07000000000000001</v>
      </c>
      <c r="I271" s="8" t="n">
        <v>0.0322</v>
      </c>
      <c r="J271" s="8" t="n">
        <v>-0.222</v>
      </c>
    </row>
    <row r="272">
      <c r="A272" t="inlineStr">
        <is>
          <t>2024-12-19</t>
        </is>
      </c>
      <c r="B272" t="inlineStr">
        <is>
          <t>094360</t>
        </is>
      </c>
      <c r="C272" t="inlineStr">
        <is>
          <t>칩스앤미디어</t>
        </is>
      </c>
      <c r="D272" t="inlineStr">
        <is>
          <t>코스닥</t>
        </is>
      </c>
      <c r="E272" s="11" t="n">
        <v>6.19</v>
      </c>
      <c r="F272" s="11" t="n">
        <v>22.02</v>
      </c>
      <c r="G272" s="8">
        <f>IF(F272=0,0,E272/F272)</f>
        <v/>
      </c>
      <c r="H272" s="11" t="n">
        <v>0.16</v>
      </c>
      <c r="I272" s="8" t="n">
        <v>-0.0743</v>
      </c>
      <c r="J272" s="8" t="n">
        <v>0.1095</v>
      </c>
    </row>
    <row r="273">
      <c r="A273" t="inlineStr">
        <is>
          <t>2024-12-19</t>
        </is>
      </c>
      <c r="B273" t="inlineStr">
        <is>
          <t>050890</t>
        </is>
      </c>
      <c r="C273" t="inlineStr">
        <is>
          <t>쏠리드</t>
        </is>
      </c>
      <c r="D273" t="inlineStr">
        <is>
          <t>코스닥</t>
        </is>
      </c>
      <c r="E273" s="11" t="n">
        <v>3.84</v>
      </c>
      <c r="F273" s="11" t="n">
        <v>59.96</v>
      </c>
      <c r="G273" s="8">
        <f>IF(F273=0,0,E273/F273)</f>
        <v/>
      </c>
      <c r="H273" s="11" t="n">
        <v>0</v>
      </c>
      <c r="I273" s="8" t="n">
        <v>0.1855</v>
      </c>
      <c r="J273" s="8" t="n">
        <v>0.1544</v>
      </c>
    </row>
    <row r="274">
      <c r="A274" t="inlineStr">
        <is>
          <t>2024-12-17</t>
        </is>
      </c>
      <c r="B274" t="inlineStr">
        <is>
          <t>097230</t>
        </is>
      </c>
      <c r="C274" t="inlineStr">
        <is>
          <t>HJ중공업</t>
        </is>
      </c>
      <c r="D274" t="inlineStr">
        <is>
          <t>코스피</t>
        </is>
      </c>
      <c r="E274" s="11" t="n">
        <v>4.24</v>
      </c>
      <c r="F274" s="11" t="n">
        <v>51.73</v>
      </c>
      <c r="G274" s="8">
        <f>IF(F274=0,0,E274/F274)</f>
        <v/>
      </c>
      <c r="H274" s="11" t="n">
        <v>0.21</v>
      </c>
      <c r="I274" s="8" t="n">
        <v>0.5647</v>
      </c>
      <c r="J274" s="8" t="n">
        <v>0.5145999999999999</v>
      </c>
    </row>
    <row r="275">
      <c r="A275" t="inlineStr">
        <is>
          <t>2024-12-17</t>
        </is>
      </c>
      <c r="B275" t="inlineStr">
        <is>
          <t>445090</t>
        </is>
      </c>
      <c r="C275" t="inlineStr">
        <is>
          <t>에이직랜드</t>
        </is>
      </c>
      <c r="D275" t="inlineStr">
        <is>
          <t>코스닥</t>
        </is>
      </c>
      <c r="E275" s="11" t="n">
        <v>4.28</v>
      </c>
      <c r="F275" s="11" t="n">
        <v>65.12</v>
      </c>
      <c r="G275" s="8">
        <f>IF(F275=0,0,E275/F275)</f>
        <v/>
      </c>
      <c r="H275" s="11" t="n">
        <v>0</v>
      </c>
      <c r="I275" s="8" t="n">
        <v>0.0492</v>
      </c>
      <c r="J275" s="8" t="n">
        <v>0.1443</v>
      </c>
    </row>
    <row r="276">
      <c r="A276" t="inlineStr">
        <is>
          <t>2024-12-13</t>
        </is>
      </c>
      <c r="B276" t="inlineStr">
        <is>
          <t>394280</t>
        </is>
      </c>
      <c r="C276" t="inlineStr">
        <is>
          <t>오픈엣지테크놀로지</t>
        </is>
      </c>
      <c r="D276" t="inlineStr">
        <is>
          <t>코스닥</t>
        </is>
      </c>
      <c r="E276" s="11" t="n">
        <v>3.33</v>
      </c>
      <c r="F276" s="11" t="n">
        <v>16.94</v>
      </c>
      <c r="G276" s="8">
        <f>IF(F276=0,0,E276/F276)</f>
        <v/>
      </c>
      <c r="H276" s="11" t="n">
        <v>0.12</v>
      </c>
      <c r="I276" s="8" t="n">
        <v>0.0606</v>
      </c>
      <c r="J276" s="8" t="n">
        <v>0.1008</v>
      </c>
    </row>
    <row r="277">
      <c r="A277" t="inlineStr">
        <is>
          <t>2024-12-13</t>
        </is>
      </c>
      <c r="B277" t="inlineStr">
        <is>
          <t>230240</t>
        </is>
      </c>
      <c r="C277" t="inlineStr">
        <is>
          <t>에치에프알</t>
        </is>
      </c>
      <c r="D277" t="inlineStr">
        <is>
          <t>코스닥</t>
        </is>
      </c>
      <c r="E277" s="11" t="n">
        <v>6.01</v>
      </c>
      <c r="F277" s="11" t="n">
        <v>15.08</v>
      </c>
      <c r="G277" s="8">
        <f>IF(F277=0,0,E277/F277)</f>
        <v/>
      </c>
      <c r="H277" s="11" t="n">
        <v>0.12</v>
      </c>
      <c r="I277" s="8" t="n">
        <v>-0.0066</v>
      </c>
      <c r="J277" s="8" t="n">
        <v>0.2026</v>
      </c>
    </row>
    <row r="278">
      <c r="A278" t="inlineStr">
        <is>
          <t>2024-12-03</t>
        </is>
      </c>
      <c r="B278" t="inlineStr">
        <is>
          <t>424960</t>
        </is>
      </c>
      <c r="C278" t="inlineStr">
        <is>
          <t>스마트레이더시스템</t>
        </is>
      </c>
      <c r="D278" t="inlineStr">
        <is>
          <t>코스닥</t>
        </is>
      </c>
      <c r="E278" s="11" t="n">
        <v>8.35</v>
      </c>
      <c r="F278" s="11" t="n">
        <v>47.48</v>
      </c>
      <c r="G278" s="8">
        <f>IF(F278=0,0,E278/F278)</f>
        <v/>
      </c>
      <c r="H278" s="11" t="n">
        <v>0</v>
      </c>
      <c r="I278" s="8" t="n">
        <v>-0.096</v>
      </c>
      <c r="J278" s="8" t="n">
        <v>0.3557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4" customHeight="1">
      <c r="A1" s="7" t="inlineStr">
        <is>
          <t>그룹</t>
        </is>
      </c>
      <c r="B1" s="7" t="inlineStr">
        <is>
          <t>로직</t>
        </is>
      </c>
      <c r="C1" s="7" t="inlineStr">
        <is>
          <t>신호수</t>
        </is>
      </c>
      <c r="D1" s="7" t="inlineStr">
        <is>
          <t>주당</t>
        </is>
      </c>
      <c r="E1" s="7" t="inlineStr">
        <is>
          <t>5일 초과 중앙%</t>
        </is>
      </c>
      <c r="F1" s="7" t="inlineStr">
        <is>
          <t>20일 초과 평균%</t>
        </is>
      </c>
      <c r="G1" s="7" t="inlineStr">
        <is>
          <t>20일 초과 중앙%</t>
        </is>
      </c>
      <c r="H1" s="7" t="inlineStr">
        <is>
          <t>20일 승률%</t>
        </is>
      </c>
      <c r="I1" s="7" t="inlineStr">
        <is>
          <t>20일 평균 95%구간</t>
        </is>
      </c>
      <c r="J1" s="7" t="inlineStr">
        <is>
          <t>과거 1년 신호수</t>
        </is>
      </c>
      <c r="K1" s="7" t="inlineStr">
        <is>
          <t>과거 1년 20일 중앙%</t>
        </is>
      </c>
      <c r="L1" s="7" t="inlineStr">
        <is>
          <t>최근 1년 신호수</t>
        </is>
      </c>
      <c r="M1" s="7" t="inlineStr">
        <is>
          <t>최근 1년 20일 중앙%</t>
        </is>
      </c>
    </row>
    <row r="2">
      <c r="A2" s="4" t="inlineStr">
        <is>
          <t>0 기준</t>
        </is>
      </c>
      <c r="B2" s="4" t="inlineStr">
        <is>
          <t>현재: 3억↑ &amp; 20일 매일 |순매수|≤0.3억</t>
        </is>
      </c>
      <c r="C2" s="4" t="n">
        <v>222</v>
      </c>
      <c r="D2" s="4" t="n">
        <v>2.52</v>
      </c>
      <c r="E2" s="4" t="n">
        <v>0.13</v>
      </c>
      <c r="F2" s="4" t="n">
        <v>8.85</v>
      </c>
      <c r="G2" s="4" t="n">
        <v>2.54</v>
      </c>
      <c r="H2" s="4" t="n">
        <v>56</v>
      </c>
      <c r="I2" s="4" t="inlineStr">
        <is>
          <t>4.92 ~ 13.17</t>
        </is>
      </c>
      <c r="J2" s="4" t="n">
        <v>98</v>
      </c>
      <c r="K2" s="4" t="n">
        <v>0.42</v>
      </c>
      <c r="L2" s="4" t="n">
        <v>124</v>
      </c>
      <c r="M2" s="4" t="n">
        <v>4.87</v>
      </c>
    </row>
    <row r="3">
      <c r="A3" s="4" t="inlineStr">
        <is>
          <t>0 기준</t>
        </is>
      </c>
      <c r="B3" s="4" t="inlineStr">
        <is>
          <t>대조군: 1억↑ &amp; 거래대금5%↑ (침묵조건 없음)</t>
        </is>
      </c>
      <c r="C3" s="4" t="n">
        <v>7808</v>
      </c>
      <c r="D3" s="4" t="n">
        <v>88.73</v>
      </c>
      <c r="E3" s="4" t="n">
        <v>-0.15</v>
      </c>
      <c r="F3" s="4" t="n">
        <v>3.04</v>
      </c>
      <c r="G3" s="4" t="n">
        <v>0.23</v>
      </c>
      <c r="H3" s="4" t="n">
        <v>51</v>
      </c>
      <c r="I3" s="4" t="inlineStr">
        <is>
          <t>2.61 ~ 3.53</t>
        </is>
      </c>
      <c r="J3" s="4" t="n">
        <v>3589</v>
      </c>
      <c r="K3" s="4" t="n">
        <v>0.19</v>
      </c>
      <c r="L3" s="4" t="n">
        <v>4219</v>
      </c>
      <c r="M3" s="4" t="n">
        <v>0.3</v>
      </c>
    </row>
    <row r="4">
      <c r="A4" s="4" t="inlineStr">
        <is>
          <t>1 급증 크기</t>
        </is>
      </c>
      <c r="B4" s="4" t="inlineStr">
        <is>
          <t>1억↑ (침묵 현재와 동일)</t>
        </is>
      </c>
      <c r="C4" s="4" t="n">
        <v>709</v>
      </c>
      <c r="D4" s="4" t="n">
        <v>8.06</v>
      </c>
      <c r="E4" s="4" t="n">
        <v>0.02</v>
      </c>
      <c r="F4" s="4" t="n">
        <v>4.95</v>
      </c>
      <c r="G4" s="4" t="n">
        <v>0.5600000000000001</v>
      </c>
      <c r="H4" s="4" t="n">
        <v>52</v>
      </c>
      <c r="I4" s="4" t="inlineStr">
        <is>
          <t>3.13 ~ 6.81</t>
        </is>
      </c>
      <c r="J4" s="4" t="n">
        <v>323</v>
      </c>
      <c r="K4" s="4" t="n">
        <v>0.33</v>
      </c>
      <c r="L4" s="4" t="n">
        <v>386</v>
      </c>
      <c r="M4" s="4" t="n">
        <v>0.7</v>
      </c>
    </row>
    <row r="5">
      <c r="A5" s="4" t="inlineStr">
        <is>
          <t>1 급증 크기</t>
        </is>
      </c>
      <c r="B5" s="4" t="inlineStr">
        <is>
          <t>1억↑ &amp; 거래대금 2%↑</t>
        </is>
      </c>
      <c r="C5" s="4" t="n">
        <v>625</v>
      </c>
      <c r="D5" s="4" t="n">
        <v>7.1</v>
      </c>
      <c r="E5" s="4" t="n">
        <v>0.11</v>
      </c>
      <c r="F5" s="4" t="n">
        <v>5.38</v>
      </c>
      <c r="G5" s="4" t="n">
        <v>0.77</v>
      </c>
      <c r="H5" s="4" t="n">
        <v>52</v>
      </c>
      <c r="I5" s="4" t="inlineStr">
        <is>
          <t>3.5 ~ 7.24</t>
        </is>
      </c>
      <c r="J5" s="4" t="n">
        <v>284</v>
      </c>
      <c r="K5" s="4" t="n">
        <v>0.42</v>
      </c>
      <c r="L5" s="4" t="n">
        <v>341</v>
      </c>
      <c r="M5" s="4" t="n">
        <v>0.99</v>
      </c>
    </row>
    <row r="6">
      <c r="A6" s="4" t="inlineStr">
        <is>
          <t>1 급증 크기</t>
        </is>
      </c>
      <c r="B6" s="4" t="inlineStr">
        <is>
          <t>1억↑ &amp; 거래대금 5%↑</t>
        </is>
      </c>
      <c r="C6" s="4" t="n">
        <v>514</v>
      </c>
      <c r="D6" s="4" t="n">
        <v>5.84</v>
      </c>
      <c r="E6" s="4" t="n">
        <v>0</v>
      </c>
      <c r="F6" s="4" t="n">
        <v>5.48</v>
      </c>
      <c r="G6" s="4" t="n">
        <v>0.86</v>
      </c>
      <c r="H6" s="4" t="n">
        <v>53</v>
      </c>
      <c r="I6" s="4" t="inlineStr">
        <is>
          <t>3.43 ~ 7.73</t>
        </is>
      </c>
      <c r="J6" s="4" t="n">
        <v>235</v>
      </c>
      <c r="K6" s="4" t="n">
        <v>0.96</v>
      </c>
      <c r="L6" s="4" t="n">
        <v>279</v>
      </c>
      <c r="M6" s="4" t="n">
        <v>0.74</v>
      </c>
    </row>
    <row r="7">
      <c r="A7" s="4" t="inlineStr">
        <is>
          <t>1 급증 크기</t>
        </is>
      </c>
      <c r="B7" s="4" t="inlineStr">
        <is>
          <t>1억↑ &amp; 거래대금 10%↑</t>
        </is>
      </c>
      <c r="C7" s="4" t="n">
        <v>408</v>
      </c>
      <c r="D7" s="4" t="n">
        <v>4.64</v>
      </c>
      <c r="E7" s="4" t="n">
        <v>0.09</v>
      </c>
      <c r="F7" s="4" t="n">
        <v>5.79</v>
      </c>
      <c r="G7" s="4" t="n">
        <v>0.96</v>
      </c>
      <c r="H7" s="4" t="n">
        <v>54</v>
      </c>
      <c r="I7" s="4" t="inlineStr">
        <is>
          <t>3.33 ~ 8.31</t>
        </is>
      </c>
      <c r="J7" s="4" t="n">
        <v>189</v>
      </c>
      <c r="K7" s="4" t="n">
        <v>1.39</v>
      </c>
      <c r="L7" s="4" t="n">
        <v>219</v>
      </c>
      <c r="M7" s="4" t="n">
        <v>0.74</v>
      </c>
    </row>
    <row r="8">
      <c r="A8" s="4" t="inlineStr">
        <is>
          <t>1 급증 크기</t>
        </is>
      </c>
      <c r="B8" s="4" t="inlineStr">
        <is>
          <t>1억↑ &amp; 시총 1bp↑</t>
        </is>
      </c>
      <c r="C8" s="4" t="n">
        <v>704</v>
      </c>
      <c r="D8" s="4" t="n">
        <v>8</v>
      </c>
      <c r="E8" s="4" t="n">
        <v>0.06</v>
      </c>
      <c r="F8" s="4" t="n">
        <v>5.09</v>
      </c>
      <c r="G8" s="4" t="n">
        <v>0.63</v>
      </c>
      <c r="H8" s="4" t="n">
        <v>52</v>
      </c>
      <c r="I8" s="4" t="inlineStr">
        <is>
          <t>3.36 ~ 6.9</t>
        </is>
      </c>
      <c r="J8" s="4" t="n">
        <v>323</v>
      </c>
      <c r="K8" s="4" t="n">
        <v>0.33</v>
      </c>
      <c r="L8" s="4" t="n">
        <v>381</v>
      </c>
      <c r="M8" s="4" t="n">
        <v>0.77</v>
      </c>
    </row>
    <row r="9">
      <c r="A9" s="4" t="inlineStr">
        <is>
          <t>1 급증 크기</t>
        </is>
      </c>
      <c r="B9" s="4" t="inlineStr">
        <is>
          <t>1억↑ &amp; 시총 3bp↑</t>
        </is>
      </c>
      <c r="C9" s="4" t="n">
        <v>637</v>
      </c>
      <c r="D9" s="4" t="n">
        <v>7.24</v>
      </c>
      <c r="E9" s="4" t="n">
        <v>0</v>
      </c>
      <c r="F9" s="4" t="n">
        <v>5.35</v>
      </c>
      <c r="G9" s="4" t="n">
        <v>0.51</v>
      </c>
      <c r="H9" s="4" t="n">
        <v>52</v>
      </c>
      <c r="I9" s="4" t="inlineStr">
        <is>
          <t>3.47 ~ 7.34</t>
        </is>
      </c>
      <c r="J9" s="4" t="n">
        <v>302</v>
      </c>
      <c r="K9" s="4" t="n">
        <v>0.22</v>
      </c>
      <c r="L9" s="4" t="n">
        <v>335</v>
      </c>
      <c r="M9" s="4" t="n">
        <v>0.9399999999999999</v>
      </c>
    </row>
    <row r="10">
      <c r="A10" s="4" t="inlineStr">
        <is>
          <t>2 침묵 정의</t>
        </is>
      </c>
      <c r="B10" s="4" t="inlineStr">
        <is>
          <t>1억↑ &amp; 거래대금5%↑ &amp; 급증배수 10배↑</t>
        </is>
      </c>
      <c r="C10" s="4" t="n">
        <v>2244</v>
      </c>
      <c r="D10" s="4" t="n">
        <v>25.5</v>
      </c>
      <c r="E10" s="4" t="n">
        <v>-0.37</v>
      </c>
      <c r="F10" s="4" t="n">
        <v>3.64</v>
      </c>
      <c r="G10" s="4" t="n">
        <v>0.19</v>
      </c>
      <c r="H10" s="4" t="n">
        <v>51</v>
      </c>
      <c r="I10" s="4" t="inlineStr">
        <is>
          <t>2.77 ~ 4.55</t>
        </is>
      </c>
      <c r="J10" s="4" t="n">
        <v>1014</v>
      </c>
      <c r="K10" s="4" t="n">
        <v>0.38</v>
      </c>
      <c r="L10" s="4" t="n">
        <v>1230</v>
      </c>
      <c r="M10" s="4" t="n">
        <v>0.1</v>
      </c>
    </row>
    <row r="11">
      <c r="A11" s="4" t="inlineStr">
        <is>
          <t>2 침묵 정의</t>
        </is>
      </c>
      <c r="B11" s="4" t="inlineStr">
        <is>
          <t>1억↑ &amp; 거래대금5%↑ &amp; 급증배수 20배↑</t>
        </is>
      </c>
      <c r="C11" s="4" t="n">
        <v>1257</v>
      </c>
      <c r="D11" s="4" t="n">
        <v>14.28</v>
      </c>
      <c r="E11" s="4" t="n">
        <v>-0.36</v>
      </c>
      <c r="F11" s="4" t="n">
        <v>4.69</v>
      </c>
      <c r="G11" s="4" t="n">
        <v>0.78</v>
      </c>
      <c r="H11" s="4" t="n">
        <v>52</v>
      </c>
      <c r="I11" s="4" t="inlineStr">
        <is>
          <t>3.38 ~ 5.97</t>
        </is>
      </c>
      <c r="J11" s="4" t="n">
        <v>571</v>
      </c>
      <c r="K11" s="4" t="n">
        <v>0.86</v>
      </c>
      <c r="L11" s="4" t="n">
        <v>686</v>
      </c>
      <c r="M11" s="4" t="n">
        <v>0.6899999999999999</v>
      </c>
    </row>
    <row r="12">
      <c r="A12" s="4" t="inlineStr">
        <is>
          <t>2 침묵 정의</t>
        </is>
      </c>
      <c r="B12" s="4" t="inlineStr">
        <is>
          <t>1억↑ &amp; 거래대금5%↑ &amp; 급증배수 50배↑</t>
        </is>
      </c>
      <c r="C12" s="4" t="n">
        <v>700</v>
      </c>
      <c r="D12" s="4" t="n">
        <v>7.95</v>
      </c>
      <c r="E12" s="4" t="n">
        <v>-0.73</v>
      </c>
      <c r="F12" s="4" t="n">
        <v>5.36</v>
      </c>
      <c r="G12" s="4" t="n">
        <v>0.9</v>
      </c>
      <c r="H12" s="4" t="n">
        <v>53</v>
      </c>
      <c r="I12" s="4" t="inlineStr">
        <is>
          <t>3.61 ~ 7.21</t>
        </is>
      </c>
      <c r="J12" s="4" t="n">
        <v>321</v>
      </c>
      <c r="K12" s="4" t="n">
        <v>1.27</v>
      </c>
      <c r="L12" s="4" t="n">
        <v>379</v>
      </c>
      <c r="M12" s="4" t="n">
        <v>0.74</v>
      </c>
    </row>
    <row r="13">
      <c r="A13" s="4" t="inlineStr">
        <is>
          <t>2 침묵 정의</t>
        </is>
      </c>
      <c r="B13" s="4" t="inlineStr">
        <is>
          <t>1억↑ &amp; 거래대금5%↑ &amp; 0.3억 초과일 2일 이하</t>
        </is>
      </c>
      <c r="C13" s="4" t="n">
        <v>1194</v>
      </c>
      <c r="D13" s="4" t="n">
        <v>13.57</v>
      </c>
      <c r="E13" s="4" t="n">
        <v>-0.52</v>
      </c>
      <c r="F13" s="4" t="n">
        <v>4.21</v>
      </c>
      <c r="G13" s="4" t="n">
        <v>0.3</v>
      </c>
      <c r="H13" s="4" t="n">
        <v>51</v>
      </c>
      <c r="I13" s="4" t="inlineStr">
        <is>
          <t>2.91 ~ 5.58</t>
        </is>
      </c>
      <c r="J13" s="4" t="n">
        <v>542</v>
      </c>
      <c r="K13" s="4" t="n">
        <v>0.3</v>
      </c>
      <c r="L13" s="4" t="n">
        <v>652</v>
      </c>
      <c r="M13" s="4" t="n">
        <v>0.29</v>
      </c>
    </row>
    <row r="14">
      <c r="A14" s="4" t="inlineStr">
        <is>
          <t>2 침묵 정의</t>
        </is>
      </c>
      <c r="B14" s="4" t="inlineStr">
        <is>
          <t>1억↑ &amp; 거래대금5%↑ &amp; 매수+매도 모두 0.3억 이하</t>
        </is>
      </c>
      <c r="C14" s="4" t="n">
        <v>499</v>
      </c>
      <c r="D14" s="4" t="n">
        <v>5.67</v>
      </c>
      <c r="E14" s="4" t="n">
        <v>-0.02</v>
      </c>
      <c r="F14" s="4" t="n">
        <v>5.54</v>
      </c>
      <c r="G14" s="4" t="n">
        <v>0.86</v>
      </c>
      <c r="H14" s="4" t="n">
        <v>53</v>
      </c>
      <c r="I14" s="4" t="inlineStr">
        <is>
          <t>3.38 ~ 7.86</t>
        </is>
      </c>
      <c r="J14" s="4" t="n">
        <v>227</v>
      </c>
      <c r="K14" s="4" t="n">
        <v>0.96</v>
      </c>
      <c r="L14" s="4" t="n">
        <v>272</v>
      </c>
      <c r="M14" s="4" t="n">
        <v>0.65</v>
      </c>
    </row>
    <row r="15">
      <c r="A15" s="4" t="inlineStr">
        <is>
          <t>3 누적 매수</t>
        </is>
      </c>
      <c r="B15" s="4" t="inlineStr">
        <is>
          <t>2일 누적 1억↑ &amp; 거래대금5%↑ &amp; 급증배수 20배↑</t>
        </is>
      </c>
      <c r="C15" s="4" t="n">
        <v>1744</v>
      </c>
      <c r="D15" s="4" t="n">
        <v>19.82</v>
      </c>
      <c r="E15" s="4" t="n">
        <v>-0.29</v>
      </c>
      <c r="F15" s="4" t="n">
        <v>4.28</v>
      </c>
      <c r="G15" s="4" t="n">
        <v>0.57</v>
      </c>
      <c r="H15" s="4" t="n">
        <v>52</v>
      </c>
      <c r="I15" s="4" t="inlineStr">
        <is>
          <t>3.2 ~ 5.32</t>
        </is>
      </c>
      <c r="J15" s="4" t="n">
        <v>805</v>
      </c>
      <c r="K15" s="4" t="n">
        <v>0.86</v>
      </c>
      <c r="L15" s="4" t="n">
        <v>939</v>
      </c>
      <c r="M15" s="4" t="n">
        <v>0.23</v>
      </c>
    </row>
    <row r="16">
      <c r="A16" s="4" t="inlineStr">
        <is>
          <t>3 누적 매수</t>
        </is>
      </c>
      <c r="B16" s="4" t="inlineStr">
        <is>
          <t>3일 누적 1억↑ &amp; 거래대금5%↑ &amp; 급증배수 20배↑</t>
        </is>
      </c>
      <c r="C16" s="4" t="n">
        <v>2125</v>
      </c>
      <c r="D16" s="4" t="n">
        <v>24.15</v>
      </c>
      <c r="E16" s="4" t="n">
        <v>-0.21</v>
      </c>
      <c r="F16" s="4" t="n">
        <v>3.89</v>
      </c>
      <c r="G16" s="4" t="n">
        <v>0.31</v>
      </c>
      <c r="H16" s="4" t="n">
        <v>51</v>
      </c>
      <c r="I16" s="4" t="inlineStr">
        <is>
          <t>2.89 ~ 4.87</t>
        </is>
      </c>
      <c r="J16" s="4" t="n">
        <v>979</v>
      </c>
      <c r="K16" s="4" t="n">
        <v>0.89</v>
      </c>
      <c r="L16" s="4" t="n">
        <v>1146</v>
      </c>
      <c r="M16" s="4" t="n">
        <v>-0.08</v>
      </c>
    </row>
    <row r="17">
      <c r="A17" s="4" t="inlineStr">
        <is>
          <t>4 침묵 기간</t>
        </is>
      </c>
      <c r="B17" s="4" t="inlineStr">
        <is>
          <t>10일: 1억↑ &amp; 거래대금5%↑ &amp; 급증배수 20배↑</t>
        </is>
      </c>
      <c r="C17" s="4" t="n">
        <v>1573</v>
      </c>
      <c r="D17" s="4" t="n">
        <v>17.88</v>
      </c>
      <c r="E17" s="4" t="n">
        <v>-0.34</v>
      </c>
      <c r="F17" s="4" t="n">
        <v>4.25</v>
      </c>
      <c r="G17" s="4" t="n">
        <v>0.38</v>
      </c>
      <c r="H17" s="4" t="n">
        <v>51</v>
      </c>
      <c r="I17" s="4" t="inlineStr">
        <is>
          <t>3.08 ~ 5.38</t>
        </is>
      </c>
      <c r="J17" s="4" t="n">
        <v>704</v>
      </c>
      <c r="K17" s="4" t="n">
        <v>0.4</v>
      </c>
      <c r="L17" s="4" t="n">
        <v>869</v>
      </c>
      <c r="M17" s="4" t="n">
        <v>0.3</v>
      </c>
    </row>
    <row r="18">
      <c r="A18" s="4" t="inlineStr">
        <is>
          <t>4 침묵 기간</t>
        </is>
      </c>
      <c r="B18" s="4" t="inlineStr">
        <is>
          <t>40일: 1억↑ &amp; 거래대금5%↑ &amp; 급증배수 20배↑</t>
        </is>
      </c>
      <c r="C18" s="4" t="n">
        <v>1082</v>
      </c>
      <c r="D18" s="4" t="n">
        <v>12.3</v>
      </c>
      <c r="E18" s="4" t="n">
        <v>-0.71</v>
      </c>
      <c r="F18" s="4" t="n">
        <v>4.15</v>
      </c>
      <c r="G18" s="4" t="n">
        <v>0.11</v>
      </c>
      <c r="H18" s="4" t="n">
        <v>50</v>
      </c>
      <c r="I18" s="4" t="inlineStr">
        <is>
          <t>2.79 ~ 5.62</t>
        </is>
      </c>
      <c r="J18" s="4" t="n">
        <v>515</v>
      </c>
      <c r="K18" s="4" t="n">
        <v>0.15</v>
      </c>
      <c r="L18" s="4" t="n">
        <v>567</v>
      </c>
      <c r="M18" s="4" t="n">
        <v>0.06</v>
      </c>
    </row>
    <row r="19">
      <c r="A19" s="4" t="inlineStr">
        <is>
          <t>5 유동성</t>
        </is>
      </c>
      <c r="B19" s="4" t="inlineStr">
        <is>
          <t>1억↑ &amp; 거래대금5%↑ &amp; 급증배수 20배↑ &amp; 평균거래대금 5억↑</t>
        </is>
      </c>
      <c r="C19" s="4" t="n">
        <v>1095</v>
      </c>
      <c r="D19" s="4" t="n">
        <v>12.44</v>
      </c>
      <c r="E19" s="4" t="n">
        <v>-0.43</v>
      </c>
      <c r="F19" s="4" t="n">
        <v>4.72</v>
      </c>
      <c r="G19" s="4" t="n">
        <v>0.72</v>
      </c>
      <c r="H19" s="4" t="n">
        <v>52</v>
      </c>
      <c r="I19" s="4" t="inlineStr">
        <is>
          <t>3.34 ~ 6.18</t>
        </is>
      </c>
      <c r="J19" s="4" t="n">
        <v>491</v>
      </c>
      <c r="K19" s="4" t="n">
        <v>0.6</v>
      </c>
      <c r="L19" s="4" t="n">
        <v>604</v>
      </c>
      <c r="M19" s="4" t="n">
        <v>0.74</v>
      </c>
    </row>
    <row r="20">
      <c r="A20" s="4" t="inlineStr">
        <is>
          <t>6 금액 유지·침묵 완화</t>
        </is>
      </c>
      <c r="B20" s="4" t="inlineStr">
        <is>
          <t>2억↑ &amp; 20일 매일 |순매수|≤0.3억</t>
        </is>
      </c>
      <c r="C20" s="4" t="n">
        <v>359</v>
      </c>
      <c r="D20" s="4" t="n">
        <v>4.08</v>
      </c>
      <c r="E20" s="4" t="n">
        <v>0.16</v>
      </c>
      <c r="F20" s="4" t="n">
        <v>6.46</v>
      </c>
      <c r="G20" s="4" t="n">
        <v>1.36</v>
      </c>
      <c r="H20" s="4" t="n">
        <v>53</v>
      </c>
      <c r="I20" s="4" t="inlineStr">
        <is>
          <t>3.7 ~ 9.43</t>
        </is>
      </c>
      <c r="J20" s="4" t="n">
        <v>152</v>
      </c>
      <c r="K20" s="4" t="n">
        <v>-0.28</v>
      </c>
      <c r="L20" s="4" t="n">
        <v>207</v>
      </c>
      <c r="M20" s="4" t="n">
        <v>2.89</v>
      </c>
    </row>
    <row r="21">
      <c r="A21" s="4" t="inlineStr">
        <is>
          <t>6 금액 유지·침묵 완화</t>
        </is>
      </c>
      <c r="B21" s="4" t="inlineStr">
        <is>
          <t>5억↑ &amp; 20일 매일 |순매수|≤0.3억</t>
        </is>
      </c>
      <c r="C21" s="4" t="n">
        <v>100</v>
      </c>
      <c r="D21" s="4" t="n">
        <v>1.14</v>
      </c>
      <c r="E21" s="4" t="n">
        <v>0.11</v>
      </c>
      <c r="F21" s="4" t="n">
        <v>11.31</v>
      </c>
      <c r="G21" s="4" t="n">
        <v>3.66</v>
      </c>
      <c r="H21" s="4" t="n">
        <v>60</v>
      </c>
      <c r="I21" s="4" t="inlineStr">
        <is>
          <t>4.67 ~ 19.03</t>
        </is>
      </c>
      <c r="J21" s="4" t="n">
        <v>38</v>
      </c>
      <c r="K21" s="4" t="n">
        <v>1.81</v>
      </c>
      <c r="L21" s="4" t="n">
        <v>62</v>
      </c>
      <c r="M21" s="4" t="n">
        <v>6.32</v>
      </c>
    </row>
    <row r="22">
      <c r="A22" s="4" t="inlineStr">
        <is>
          <t>6 금액 유지·침묵 완화</t>
        </is>
      </c>
      <c r="B22" s="4" t="inlineStr">
        <is>
          <t>3억↑ &amp; 20일 매일 |순매수|≤0.5억</t>
        </is>
      </c>
      <c r="C22" s="4" t="n">
        <v>261</v>
      </c>
      <c r="D22" s="4" t="n">
        <v>2.97</v>
      </c>
      <c r="E22" s="4" t="n">
        <v>-0.38</v>
      </c>
      <c r="F22" s="4" t="n">
        <v>8.09</v>
      </c>
      <c r="G22" s="4" t="n">
        <v>1.92</v>
      </c>
      <c r="H22" s="4" t="n">
        <v>55</v>
      </c>
      <c r="I22" s="4" t="inlineStr">
        <is>
          <t>4.57 ~ 12.05</t>
        </is>
      </c>
      <c r="J22" s="4" t="n">
        <v>116</v>
      </c>
      <c r="K22" s="4" t="n">
        <v>-0.33</v>
      </c>
      <c r="L22" s="4" t="n">
        <v>145</v>
      </c>
      <c r="M22" s="4" t="n">
        <v>4.58</v>
      </c>
    </row>
    <row r="23">
      <c r="A23" s="4" t="inlineStr">
        <is>
          <t>6 금액 유지·침묵 완화</t>
        </is>
      </c>
      <c r="B23" s="4" t="inlineStr">
        <is>
          <t>3억↑ &amp; 20일 매일 |순매수|≤1억</t>
        </is>
      </c>
      <c r="C23" s="4" t="n">
        <v>383</v>
      </c>
      <c r="D23" s="4" t="n">
        <v>4.35</v>
      </c>
      <c r="E23" s="4" t="n">
        <v>-0.64</v>
      </c>
      <c r="F23" s="4" t="n">
        <v>6.53</v>
      </c>
      <c r="G23" s="4" t="n">
        <v>1.8</v>
      </c>
      <c r="H23" s="4" t="n">
        <v>54</v>
      </c>
      <c r="I23" s="4" t="inlineStr">
        <is>
          <t>3.82 ~ 9.29</t>
        </is>
      </c>
      <c r="J23" s="4" t="n">
        <v>179</v>
      </c>
      <c r="K23" s="4" t="n">
        <v>-0.24</v>
      </c>
      <c r="L23" s="4" t="n">
        <v>204</v>
      </c>
      <c r="M23" s="4" t="n">
        <v>3.3</v>
      </c>
    </row>
    <row r="24">
      <c r="A24" s="4" t="inlineStr">
        <is>
          <t>6 금액 유지·침묵 완화</t>
        </is>
      </c>
      <c r="B24" s="4" t="inlineStr">
        <is>
          <t>3억↑ &amp; 0.3억 초과일 1일 이하</t>
        </is>
      </c>
      <c r="C24" s="4" t="n">
        <v>391</v>
      </c>
      <c r="D24" s="4" t="n">
        <v>4.44</v>
      </c>
      <c r="E24" s="4" t="n">
        <v>-0.65</v>
      </c>
      <c r="F24" s="4" t="n">
        <v>7.2</v>
      </c>
      <c r="G24" s="4" t="n">
        <v>2</v>
      </c>
      <c r="H24" s="4" t="n">
        <v>54</v>
      </c>
      <c r="I24" s="4" t="inlineStr">
        <is>
          <t>4.43 ~ 10.17</t>
        </is>
      </c>
      <c r="J24" s="4" t="n">
        <v>170</v>
      </c>
      <c r="K24" s="4" t="n">
        <v>0.42</v>
      </c>
      <c r="L24" s="4" t="n">
        <v>221</v>
      </c>
      <c r="M24" s="4" t="n">
        <v>3.73</v>
      </c>
    </row>
    <row r="25">
      <c r="A25" s="4" t="inlineStr">
        <is>
          <t>6 금액 유지·침묵 완화</t>
        </is>
      </c>
      <c r="B25" s="4" t="inlineStr">
        <is>
          <t>3억↑ &amp; 0.3억 초과일 2일 이하</t>
        </is>
      </c>
      <c r="C25" s="4" t="n">
        <v>565</v>
      </c>
      <c r="D25" s="4" t="n">
        <v>6.42</v>
      </c>
      <c r="E25" s="4" t="n">
        <v>-0.89</v>
      </c>
      <c r="F25" s="4" t="n">
        <v>5.81</v>
      </c>
      <c r="G25" s="4" t="n">
        <v>0.83</v>
      </c>
      <c r="H25" s="4" t="n">
        <v>51</v>
      </c>
      <c r="I25" s="4" t="inlineStr">
        <is>
          <t>3.62 ~ 8.04</t>
        </is>
      </c>
      <c r="J25" s="4" t="n">
        <v>237</v>
      </c>
      <c r="K25" s="4" t="n">
        <v>-0.27</v>
      </c>
      <c r="L25" s="4" t="n">
        <v>328</v>
      </c>
      <c r="M25" s="4" t="n">
        <v>1.92</v>
      </c>
    </row>
    <row r="26">
      <c r="A26" s="4" t="inlineStr">
        <is>
          <t>6 금액 유지·침묵 완화</t>
        </is>
      </c>
      <c r="B26" s="4" t="inlineStr">
        <is>
          <t>3억↑ &amp; 급증배수 20배↑</t>
        </is>
      </c>
      <c r="C26" s="4" t="n">
        <v>891</v>
      </c>
      <c r="D26" s="4" t="n">
        <v>10.12</v>
      </c>
      <c r="E26" s="4" t="n">
        <v>-0.6899999999999999</v>
      </c>
      <c r="F26" s="4" t="n">
        <v>5.18</v>
      </c>
      <c r="G26" s="4" t="n">
        <v>0.78</v>
      </c>
      <c r="H26" s="4" t="n">
        <v>51</v>
      </c>
      <c r="I26" s="4" t="inlineStr">
        <is>
          <t>3.36 ~ 7.05</t>
        </is>
      </c>
      <c r="J26" s="4" t="n">
        <v>373</v>
      </c>
      <c r="K26" s="4" t="n">
        <v>-0.22</v>
      </c>
      <c r="L26" s="4" t="n">
        <v>518</v>
      </c>
      <c r="M26" s="4" t="n">
        <v>1.7</v>
      </c>
    </row>
    <row r="27">
      <c r="A27" s="4" t="inlineStr">
        <is>
          <t>6 금액 유지·침묵 완화</t>
        </is>
      </c>
      <c r="B27" s="4" t="inlineStr">
        <is>
          <t>3억↑ &amp; 급증배수 50배↑</t>
        </is>
      </c>
      <c r="C27" s="4" t="n">
        <v>420</v>
      </c>
      <c r="D27" s="4" t="n">
        <v>4.77</v>
      </c>
      <c r="E27" s="4" t="n">
        <v>-0.92</v>
      </c>
      <c r="F27" s="4" t="n">
        <v>6.88</v>
      </c>
      <c r="G27" s="4" t="n">
        <v>1.92</v>
      </c>
      <c r="H27" s="4" t="n">
        <v>54</v>
      </c>
      <c r="I27" s="4" t="inlineStr">
        <is>
          <t>4.31 ~ 9.6</t>
        </is>
      </c>
      <c r="J27" s="4" t="n">
        <v>178</v>
      </c>
      <c r="K27" s="4" t="n">
        <v>0.27</v>
      </c>
      <c r="L27" s="4" t="n">
        <v>242</v>
      </c>
      <c r="M27" s="4" t="n">
        <v>3.73</v>
      </c>
    </row>
    <row r="28">
      <c r="A28" s="4" t="inlineStr">
        <is>
          <t>6 금액 유지·침묵 완화</t>
        </is>
      </c>
      <c r="B28" s="4" t="inlineStr">
        <is>
          <t>3억↑ &amp; 10일 매일 |순매수|≤0.3억</t>
        </is>
      </c>
      <c r="C28" s="4" t="n">
        <v>375</v>
      </c>
      <c r="D28" s="4" t="n">
        <v>4.26</v>
      </c>
      <c r="E28" s="4" t="n">
        <v>-0.6899999999999999</v>
      </c>
      <c r="F28" s="4" t="n">
        <v>6.48</v>
      </c>
      <c r="G28" s="4" t="n">
        <v>1.66</v>
      </c>
      <c r="H28" s="4" t="n">
        <v>52</v>
      </c>
      <c r="I28" s="4" t="inlineStr">
        <is>
          <t>4.04 ~ 9.29</t>
        </is>
      </c>
      <c r="J28" s="4" t="n">
        <v>156</v>
      </c>
      <c r="K28" s="4" t="n">
        <v>-0.59</v>
      </c>
      <c r="L28" s="4" t="n">
        <v>219</v>
      </c>
      <c r="M28" s="4" t="n">
        <v>3.5</v>
      </c>
    </row>
    <row r="29">
      <c r="A29" s="4" t="inlineStr">
        <is>
          <t>6 금액 유지·침묵 완화</t>
        </is>
      </c>
      <c r="B29" s="4" t="inlineStr">
        <is>
          <t>2일 누적 3억↑ &amp; 그 전 20일 매일 |순매수|≤0.3억</t>
        </is>
      </c>
      <c r="C29" s="4" t="n">
        <v>305</v>
      </c>
      <c r="D29" s="4" t="n">
        <v>3.47</v>
      </c>
      <c r="E29" s="4" t="n">
        <v>-0.66</v>
      </c>
      <c r="F29" s="4" t="n">
        <v>7.25</v>
      </c>
      <c r="G29" s="4" t="n">
        <v>2.5</v>
      </c>
      <c r="H29" s="4" t="n">
        <v>54</v>
      </c>
      <c r="I29" s="4" t="inlineStr">
        <is>
          <t>4.2 ~ 10.64</t>
        </is>
      </c>
      <c r="J29" s="4" t="n">
        <v>135</v>
      </c>
      <c r="K29" s="4" t="n">
        <v>1.8</v>
      </c>
      <c r="L29" s="4" t="n">
        <v>170</v>
      </c>
      <c r="M29" s="4" t="n">
        <v>3.81</v>
      </c>
    </row>
    <row r="30">
      <c r="A30" s="4" t="inlineStr">
        <is>
          <t>6 금액 유지·침묵 완화</t>
        </is>
      </c>
      <c r="B30" s="4" t="inlineStr">
        <is>
          <t>3억↑ &amp; 거래대금 5%↑ &amp; 20일 매일 |순매수|≤0.3억</t>
        </is>
      </c>
      <c r="C30" s="4" t="n">
        <v>180</v>
      </c>
      <c r="D30" s="4" t="n">
        <v>2.05</v>
      </c>
      <c r="E30" s="4" t="n">
        <v>-0.73</v>
      </c>
      <c r="F30" s="4" t="n">
        <v>9.84</v>
      </c>
      <c r="G30" s="4" t="n">
        <v>2.88</v>
      </c>
      <c r="H30" s="4" t="n">
        <v>58</v>
      </c>
      <c r="I30" s="4" t="inlineStr">
        <is>
          <t>5.29 ~ 15.03</t>
        </is>
      </c>
      <c r="J30" s="4" t="n">
        <v>82</v>
      </c>
      <c r="K30" s="4" t="n">
        <v>1.46</v>
      </c>
      <c r="L30" s="4" t="n">
        <v>98</v>
      </c>
      <c r="M30" s="4" t="n">
        <v>4.98</v>
      </c>
    </row>
    <row r="31">
      <c r="A31" s="4" t="inlineStr">
        <is>
          <t>7 추천</t>
        </is>
      </c>
      <c r="B31" s="4" t="inlineStr">
        <is>
          <t>추천: 1~2일 누적 3억↑ &amp; (5억↑ 또는 거래대금 5%↑) &amp; 직전 20일 매일 |순매수|≤0.3억</t>
        </is>
      </c>
      <c r="C31" s="4" t="n">
        <v>277</v>
      </c>
      <c r="D31" s="4" t="n">
        <v>3.15</v>
      </c>
      <c r="E31" s="4" t="n">
        <v>-0.71</v>
      </c>
      <c r="F31" s="4" t="n">
        <v>7.89</v>
      </c>
      <c r="G31" s="4" t="n">
        <v>2.49</v>
      </c>
      <c r="H31" s="4" t="n">
        <v>55</v>
      </c>
      <c r="I31" s="4" t="inlineStr">
        <is>
          <t>4.68 ~ 11.66</t>
        </is>
      </c>
      <c r="J31" s="4" t="n">
        <v>125</v>
      </c>
      <c r="K31" s="4" t="n">
        <v>1.27</v>
      </c>
      <c r="L31" s="4" t="n">
        <v>152</v>
      </c>
      <c r="M31" s="4" t="n">
        <v>4.17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0" customWidth="1" min="3" max="3"/>
    <col width="22" customWidth="1" min="4" max="4"/>
    <col width="40" customWidth="1" min="5" max="5"/>
    <col width="34" customWidth="1" min="6" max="6"/>
    <col width="18" customWidth="1" min="7" max="7"/>
    <col width="14" customWidth="1" min="8" max="8"/>
    <col width="10" customWidth="1" min="9" max="9"/>
    <col width="30" customWidth="1" min="10" max="10"/>
    <col width="30" customWidth="1" min="11" max="11"/>
  </cols>
  <sheetData>
    <row r="1">
      <c r="A1" s="7" t="inlineStr">
        <is>
          <t>Written to</t>
        </is>
      </c>
      <c r="B1" s="7" t="inlineStr">
        <is>
          <t>Source</t>
        </is>
      </c>
      <c r="C1" s="7" t="inlineStr">
        <is>
          <t>Object</t>
        </is>
      </c>
      <c r="D1" s="7" t="inlineStr">
        <is>
          <t>Obtained via</t>
        </is>
      </c>
      <c r="E1" s="7" t="inlineStr">
        <is>
          <t>Query or request</t>
        </is>
      </c>
      <c r="F1" s="7" t="inlineStr">
        <is>
          <t>Parameters</t>
        </is>
      </c>
      <c r="G1" s="7" t="inlineStr">
        <is>
          <t>Run at</t>
        </is>
      </c>
      <c r="H1" s="7" t="inlineStr">
        <is>
          <t>Requested by</t>
        </is>
      </c>
      <c r="I1" s="7" t="inlineStr">
        <is>
          <t>Row count</t>
        </is>
      </c>
      <c r="J1" s="7" t="inlineStr">
        <is>
          <t>Changes after retrieval</t>
        </is>
      </c>
      <c r="K1" s="7" t="inlineStr">
        <is>
          <t>Notes</t>
        </is>
      </c>
    </row>
    <row r="2">
      <c r="A2" s="4" t="inlineStr">
        <is>
          <t>'추천 로직 시그널'!A1:J278</t>
        </is>
      </c>
      <c r="B2" s="4" t="inlineStr">
        <is>
          <t>KRX 정보데이터시스템</t>
        </is>
      </c>
      <c r="C2" s="4" t="inlineStr">
        <is>
          <t>MDCSTAT02401 (투자자별 순매수상위종목, 연기금), MDCSTAT01501 (전종목 시세)</t>
        </is>
      </c>
      <c r="D2" s="4" t="inlineStr">
        <is>
          <t>GitHub Actions research-archive -&gt; research/evaluate.py</t>
        </is>
      </c>
      <c r="E2" s="4" t="inlineStr">
        <is>
          <t>연기금 로직 개선안 검증</t>
        </is>
      </c>
      <c r="F2" s="4" t="inlineStr">
        <is>
          <t>기간 20241203~20260923, 코스피·코스닥</t>
        </is>
      </c>
      <c r="G2" s="4" t="inlineStr">
        <is>
          <t>2026-09-26 11:07</t>
        </is>
      </c>
      <c r="H2" s="4" t="inlineStr">
        <is>
          <t>사용자</t>
        </is>
      </c>
      <c r="I2" s="4" t="n">
        <v>277</v>
      </c>
      <c r="J2" s="4" t="inlineStr">
        <is>
          <t>추천 로직 조건으로 필터, 20거래일 재신호 제외, 수익률 계산</t>
        </is>
      </c>
      <c r="K2" s="4" t="inlineStr"/>
    </row>
    <row r="3">
      <c r="A3" s="4" t="inlineStr">
        <is>
          <t>'로직 비교'!A1:M31</t>
        </is>
      </c>
      <c r="B3" s="4" t="inlineStr">
        <is>
          <t>research/evaluate.py</t>
        </is>
      </c>
      <c r="C3" s="4" t="inlineStr">
        <is>
          <t>research/results/variants.csv</t>
        </is>
      </c>
      <c r="D3" s="4" t="inlineStr">
        <is>
          <t>Run by Claude</t>
        </is>
      </c>
      <c r="E3" s="4" t="inlineStr">
        <is>
          <t>연기금 로직 개선안 검증</t>
        </is>
      </c>
      <c r="F3" s="4" t="inlineStr">
        <is>
          <t>기간 20241203~20260923</t>
        </is>
      </c>
      <c r="G3" s="4" t="inlineStr">
        <is>
          <t>2026-09-26 11:07</t>
        </is>
      </c>
      <c r="H3" s="4" t="inlineStr">
        <is>
          <t>사용자</t>
        </is>
      </c>
      <c r="I3" s="4" t="n">
        <v>30</v>
      </c>
      <c r="J3" s="4" t="inlineStr">
        <is>
          <t>없음</t>
        </is>
      </c>
      <c r="K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2026-09-26T11:07:01Z</dcterms:created>
  <dcterms:modified xsi:type="dcterms:W3CDTF">2026-09-26T11:07:01Z</dcterms:modified>
</cp:coreProperties>
</file>